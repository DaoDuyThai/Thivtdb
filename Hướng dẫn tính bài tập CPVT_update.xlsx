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Box Sync\BAI GIANG\Lớp vận tải\Bài giảng_Chuẩn trên lớp\"/>
    </mc:Choice>
  </mc:AlternateContent>
  <xr:revisionPtr revIDLastSave="0" documentId="13_ncr:1_{F5721CBA-3B0E-4837-8016-966081538FE0}" xr6:coauthVersionLast="36" xr6:coauthVersionMax="47" xr10:uidLastSave="{00000000-0000-0000-0000-000000000000}"/>
  <bookViews>
    <workbookView xWindow="-110" yWindow="-110" windowWidth="19420" windowHeight="10420" tabRatio="857" firstSheet="2" activeTab="12" xr2:uid="{00000000-000D-0000-FFFF-FFFF00000000}"/>
  </bookViews>
  <sheets>
    <sheet name="Chung" sheetId="1" r:id="rId1"/>
    <sheet name="Tiền lương của LX" sheetId="2" r:id="rId2"/>
    <sheet name="Các khoản trích theo lương" sheetId="3" r:id="rId3"/>
    <sheet name="CP NL" sheetId="4" r:id="rId4"/>
    <sheet name="CPVLBT" sheetId="5" r:id="rId5"/>
    <sheet name="CP Săm lốp" sheetId="6" r:id="rId6"/>
    <sheet name="CP BDSC" sheetId="7" r:id="rId7"/>
    <sheet name="CP KHCB" sheetId="8" r:id="rId8"/>
    <sheet name="SCL" sheetId="10" r:id="rId9"/>
    <sheet name="Bảo hiểm" sheetId="11" r:id="rId10"/>
    <sheet name="Lệ phi, bến phí" sheetId="12" r:id="rId11"/>
    <sheet name="Thuế đầu vào" sheetId="13" r:id="rId12"/>
    <sheet name="Tổng chi phí" sheetId="14" r:id="rId1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4" l="1"/>
  <c r="C15" i="14"/>
  <c r="B20" i="13"/>
  <c r="B12" i="12"/>
  <c r="B11" i="12"/>
  <c r="B10" i="12"/>
  <c r="B16" i="11"/>
  <c r="B11" i="8"/>
  <c r="F7" i="7"/>
  <c r="B18" i="7"/>
  <c r="B17" i="7"/>
  <c r="B16" i="7"/>
  <c r="B14" i="7"/>
  <c r="B11" i="6"/>
  <c r="B9" i="6"/>
  <c r="B6" i="5"/>
  <c r="B4" i="5"/>
  <c r="B8" i="4"/>
  <c r="B10" i="2"/>
  <c r="B14" i="1"/>
  <c r="B20" i="1" s="1"/>
  <c r="B15" i="1"/>
  <c r="B3" i="1"/>
  <c r="B6" i="1" s="1"/>
  <c r="B14" i="11" l="1"/>
  <c r="B18" i="1"/>
  <c r="B12" i="11" l="1"/>
  <c r="B13" i="1"/>
  <c r="B9" i="2" l="1"/>
  <c r="B7" i="12" l="1"/>
  <c r="B9" i="11"/>
  <c r="B11" i="1"/>
  <c r="B5" i="6" l="1"/>
  <c r="B4" i="2"/>
  <c r="B6" i="2" s="1"/>
  <c r="B7" i="2" s="1"/>
  <c r="C8" i="3" l="1"/>
  <c r="C9" i="3" l="1"/>
  <c r="C10" i="3" s="1"/>
  <c r="B4" i="8"/>
  <c r="B7" i="8" s="1"/>
  <c r="B13" i="7"/>
  <c r="B15" i="7" s="1"/>
  <c r="B7" i="3"/>
  <c r="B11" i="13"/>
  <c r="B8" i="8" l="1"/>
  <c r="B12" i="1"/>
  <c r="B4" i="10" l="1"/>
  <c r="B7" i="10" s="1"/>
  <c r="B6" i="11"/>
  <c r="B9" i="8"/>
  <c r="B4" i="6"/>
  <c r="B9" i="12"/>
  <c r="B5" i="4" l="1"/>
  <c r="B9" i="4" s="1"/>
  <c r="B10" i="4" s="1"/>
  <c r="B6" i="10"/>
  <c r="B8" i="10" s="1"/>
  <c r="B4" i="13"/>
  <c r="B8" i="2"/>
  <c r="B8" i="5" l="1"/>
  <c r="B6" i="13"/>
  <c r="B7" i="13" s="1"/>
  <c r="B13" i="13" s="1"/>
  <c r="B15" i="13" s="1"/>
  <c r="B4" i="11"/>
  <c r="C7" i="3"/>
  <c r="D7" i="3" s="1"/>
  <c r="D4" i="3"/>
  <c r="D5" i="3"/>
  <c r="D6" i="3"/>
  <c r="D3" i="3"/>
  <c r="B19" i="13" l="1"/>
  <c r="B10" i="6"/>
  <c r="B4" i="12"/>
  <c r="B4" i="7"/>
  <c r="B4" i="4"/>
  <c r="C11" i="14" l="1"/>
  <c r="C12" i="14"/>
  <c r="C14" i="14"/>
  <c r="C13" i="14"/>
  <c r="C10" i="14"/>
  <c r="C4" i="14"/>
  <c r="B5" i="7"/>
  <c r="B21" i="7" l="1"/>
  <c r="B22" i="7" s="1"/>
  <c r="C5" i="14"/>
  <c r="F5" i="7"/>
  <c r="B19" i="7"/>
  <c r="B24" i="7" l="1"/>
  <c r="B26" i="7" s="1"/>
  <c r="B9" i="5"/>
  <c r="C8" i="14"/>
  <c r="C6" i="14"/>
  <c r="C7" i="14" l="1"/>
  <c r="C9" i="14"/>
  <c r="C18" i="14" l="1"/>
  <c r="C19" i="14" s="1"/>
  <c r="C20" i="14" s="1"/>
  <c r="C22" i="14" l="1"/>
  <c r="C24" i="14" s="1"/>
  <c r="D15" i="14"/>
  <c r="D9" i="14"/>
  <c r="D4" i="14"/>
  <c r="D10" i="14"/>
  <c r="D14" i="14"/>
  <c r="D12" i="14"/>
  <c r="D13" i="14"/>
  <c r="D7" i="14"/>
  <c r="D11" i="14"/>
  <c r="D8" i="14"/>
  <c r="D5" i="14"/>
  <c r="D6" i="14"/>
  <c r="D16" i="14" l="1"/>
</calcChain>
</file>

<file path=xl/sharedStrings.xml><?xml version="1.0" encoding="utf-8"?>
<sst xmlns="http://schemas.openxmlformats.org/spreadsheetml/2006/main" count="301" uniqueCount="196">
  <si>
    <t>(h)</t>
  </si>
  <si>
    <t xml:space="preserve">- Thời gian đầu cuối: </t>
  </si>
  <si>
    <t>-Quãng đường huy động:</t>
  </si>
  <si>
    <t xml:space="preserve">- Thời gian một chuyến: </t>
  </si>
  <si>
    <t>- Thời gian xếp dỡ:</t>
  </si>
  <si>
    <t>Km</t>
  </si>
  <si>
    <t>-Cự ly vận chuyển bình quân  một chuyến</t>
  </si>
  <si>
    <t>- Số chuyến bình quân trong 1 ngày</t>
  </si>
  <si>
    <t>- Số chuyến bình quân trong năm</t>
  </si>
  <si>
    <t>Chuyến</t>
  </si>
  <si>
    <t>KM</t>
  </si>
  <si>
    <t>h</t>
  </si>
  <si>
    <t>-Thời gian làm việc trong ngày</t>
  </si>
  <si>
    <t>- Thời gian lăn bánh:</t>
  </si>
  <si>
    <t>Hệ số định biên lao động</t>
  </si>
  <si>
    <t>Số lao động lái xe</t>
  </si>
  <si>
    <t>Số phương tiện có</t>
  </si>
  <si>
    <t>xe</t>
  </si>
  <si>
    <t>lái xe</t>
  </si>
  <si>
    <t>1. Số lao động lái xe</t>
  </si>
  <si>
    <t>THÔNG TIN CHUNG</t>
  </si>
  <si>
    <t>2. Tiền lương bình quân của lái xe</t>
  </si>
  <si>
    <t>- Số chuyến bình quân trong 1 tháng</t>
  </si>
  <si>
    <t>đ/tháng</t>
  </si>
  <si>
    <t>3. Tổng quỹ tiền lương tháng của LX</t>
  </si>
  <si>
    <t>4. Tổng quỹ tiền lương năm của LX</t>
  </si>
  <si>
    <t>đ</t>
  </si>
  <si>
    <t>Tổng quãng đường xe chạy trong năm</t>
  </si>
  <si>
    <t>5. Số chuyến bình quân trong 1 năm</t>
  </si>
  <si>
    <t>6. Tổng quãng đường xe chạy trong năm</t>
  </si>
  <si>
    <t>km</t>
  </si>
  <si>
    <t>chuyến</t>
  </si>
  <si>
    <t>Chi phí tiền lương lái xe/Km</t>
  </si>
  <si>
    <t>đ/Km</t>
  </si>
  <si>
    <t>BHXH</t>
  </si>
  <si>
    <t>BHYT</t>
  </si>
  <si>
    <t>BHTN</t>
  </si>
  <si>
    <t>KPCĐ</t>
  </si>
  <si>
    <t>DN</t>
  </si>
  <si>
    <t>Người lao động</t>
  </si>
  <si>
    <t>Tổng</t>
  </si>
  <si>
    <t>Các khoản trích theo lương</t>
  </si>
  <si>
    <t>Chi phí cho 1 Km</t>
  </si>
  <si>
    <t>đ/KM</t>
  </si>
  <si>
    <t>Tổng quãng đường xe chạy quy đổi về đường loại 1</t>
  </si>
  <si>
    <t>1. Tổng quãng đường xe chạy trong năm</t>
  </si>
  <si>
    <t>2. Tổng quãng đường xe chạy quy đổi về đường loại 1</t>
  </si>
  <si>
    <t>3. Định mức tiêu hao nhiên liệu tổng hợp</t>
  </si>
  <si>
    <t>l/100Km</t>
  </si>
  <si>
    <t>4. Đơn giá nhiên liệu</t>
  </si>
  <si>
    <t>đ/lít</t>
  </si>
  <si>
    <t>5. Tổng mức nhiên liệu tiêu hao trong năm</t>
  </si>
  <si>
    <t>6. Tổng chi phí nhiên liệu trong năm</t>
  </si>
  <si>
    <t>lít</t>
  </si>
  <si>
    <t>7. Chi phí nhiên liệu cho 1 Km xe chạy</t>
  </si>
  <si>
    <t>1. TIỀN LƯƠNG CỦA LÁI XE</t>
  </si>
  <si>
    <t>3. CHI PHÍ NHIÊN LIỆU</t>
  </si>
  <si>
    <t>4. CP VẬT LIỆU BÔI TRƠN</t>
  </si>
  <si>
    <t>1. Tổng khôi lượng nhiên liệu tiêu hao</t>
  </si>
  <si>
    <t>Lít</t>
  </si>
  <si>
    <t>2. Tỉ lệ VLBT so với nhiên liệu</t>
  </si>
  <si>
    <t>%</t>
  </si>
  <si>
    <t>3. Tổng mức tiêu hao VTBT</t>
  </si>
  <si>
    <t>4. Đơn giá VLBT</t>
  </si>
  <si>
    <t>đ/lit</t>
  </si>
  <si>
    <t>5. Chi phí VLBT</t>
  </si>
  <si>
    <t xml:space="preserve">Chi phí VLBT cho 1 Km </t>
  </si>
  <si>
    <t>Tổng quỹ tiền lương của lái xe</t>
  </si>
  <si>
    <r>
      <t>Q</t>
    </r>
    <r>
      <rPr>
        <sz val="8"/>
        <color theme="1"/>
        <rFont val="Calibri"/>
        <family val="2"/>
        <scheme val="minor"/>
      </rPr>
      <t>NL</t>
    </r>
  </si>
  <si>
    <t xml:space="preserve">1. Tổng quãng đường xe chạy trong năm </t>
  </si>
  <si>
    <t>3. Định ngạch đời lốp</t>
  </si>
  <si>
    <t>4. Nguyên giá bộ lốp</t>
  </si>
  <si>
    <t>đ/lốp</t>
  </si>
  <si>
    <t>Nhu cầu về bộ lốp</t>
  </si>
  <si>
    <t>5. Số bộ lốp đồng thời trên 1 xe</t>
  </si>
  <si>
    <t>bộ</t>
  </si>
  <si>
    <t xml:space="preserve">bộ </t>
  </si>
  <si>
    <t>Tổng chi phí săm lốp</t>
  </si>
  <si>
    <t>đồng</t>
  </si>
  <si>
    <t>Chi phí săm lốp cho 1 km xe chạy</t>
  </si>
  <si>
    <t>đ/km</t>
  </si>
  <si>
    <t>1. Tổng quãng đường xe chạy chung</t>
  </si>
  <si>
    <t xml:space="preserve">3. Hệ số ngày xe vận doanh </t>
  </si>
  <si>
    <t>Định ngạch SCL</t>
  </si>
  <si>
    <t>Số lần BDN</t>
  </si>
  <si>
    <t>Số ngày xe vận doanh</t>
  </si>
  <si>
    <t>Số xe có</t>
  </si>
  <si>
    <t>ngày xe</t>
  </si>
  <si>
    <t>lần</t>
  </si>
  <si>
    <t>Số lần BD ĐK</t>
  </si>
  <si>
    <t>Số lần SCL</t>
  </si>
  <si>
    <t>Chi phí BDN</t>
  </si>
  <si>
    <t>Chi phí BD ĐK</t>
  </si>
  <si>
    <t>Chi phí SCTX</t>
  </si>
  <si>
    <t>Tổng chi phí DB SC</t>
  </si>
  <si>
    <t>Chi phí BDSC cho 1 km xe chạy</t>
  </si>
  <si>
    <t>1. Số xe có</t>
  </si>
  <si>
    <t>2. Nguyên giá</t>
  </si>
  <si>
    <t>3. Tỷ lệ khấu</t>
  </si>
  <si>
    <t>Tổng giá trị phương tiện</t>
  </si>
  <si>
    <t>Tổng số tiền khấu hao</t>
  </si>
  <si>
    <t>Chi phí khấu hao cho 1 Km xe chạy</t>
  </si>
  <si>
    <t>đồng/km</t>
  </si>
  <si>
    <t>8. TRÍCH TRƯỚC SỬA CHỮA LỚN</t>
  </si>
  <si>
    <t>1. Chi phí khấu hao cơ bản</t>
  </si>
  <si>
    <t>2. Tỷ lệ trích chi phí SCL theo KHCB</t>
  </si>
  <si>
    <t>3. Tổng quãng đường xe chạy chung</t>
  </si>
  <si>
    <t>Tổng chi phí trích trước SCL</t>
  </si>
  <si>
    <t>Chi phí SCL cho 1 km xe chạy</t>
  </si>
  <si>
    <t>9. CHI PHÍ BẢO HIỂM</t>
  </si>
  <si>
    <t>1. Nguyên giá phương tiện</t>
  </si>
  <si>
    <t>2. Tổng số phương tiện có</t>
  </si>
  <si>
    <t>3. Tổng xe chạy quãng đường xe chạy chung</t>
  </si>
  <si>
    <t>4. Tỷ lệ BH PT</t>
  </si>
  <si>
    <t>BH TNDS</t>
  </si>
  <si>
    <t>đ/xe</t>
  </si>
  <si>
    <t>Tổng chi phí BHTNDS</t>
  </si>
  <si>
    <t>Tổng chi phí bảo hiểm</t>
  </si>
  <si>
    <t>Chi phí bảo hiểm cho 1 km xe chạy</t>
  </si>
  <si>
    <t>Chi phí BH Phương tiện</t>
  </si>
  <si>
    <t>10. LỆ PHÍ, BẾN PHÍ</t>
  </si>
  <si>
    <t>1. Tổng quãng đường xe chạy</t>
  </si>
  <si>
    <t>2. Số lượng phương tiện</t>
  </si>
  <si>
    <t>3. Phí bảo trì đường bộ</t>
  </si>
  <si>
    <t>đồng/xe</t>
  </si>
  <si>
    <t>Tổng phí bảo trì đường bộ</t>
  </si>
  <si>
    <t>3. Nguyên giá</t>
  </si>
  <si>
    <t>Tổng số vốn phương tiện</t>
  </si>
  <si>
    <t>Giả sử:</t>
  </si>
  <si>
    <t>Vốn vay</t>
  </si>
  <si>
    <t>Vốn chủ sở hữu</t>
  </si>
  <si>
    <t>Tổng vốn vay</t>
  </si>
  <si>
    <t>Lãi suất vốn vay</t>
  </si>
  <si>
    <t>Tổng số tiền trả lãi vốn vay</t>
  </si>
  <si>
    <t>%/năm</t>
  </si>
  <si>
    <t>BẢNG TỔNG HỢP CHI PHÍ</t>
  </si>
  <si>
    <t>STT</t>
  </si>
  <si>
    <t>Khoản mục</t>
  </si>
  <si>
    <t>Tiền lương của lái xe</t>
  </si>
  <si>
    <t>Chi phí nhiên liệu</t>
  </si>
  <si>
    <t>Chi phí VLBT</t>
  </si>
  <si>
    <t>Chi phí trích trước săm lốp</t>
  </si>
  <si>
    <t>Chi phí BDSC</t>
  </si>
  <si>
    <t>Chi phí KHCB</t>
  </si>
  <si>
    <t>Chi phí trích trước SCL</t>
  </si>
  <si>
    <t>Cp bảo hiểm</t>
  </si>
  <si>
    <t>lệ phí, bến phí</t>
  </si>
  <si>
    <t>Thuế đầu vào</t>
  </si>
  <si>
    <t>Quản lý phí (8%)</t>
  </si>
  <si>
    <t>Giá trị (đồng/Km)</t>
  </si>
  <si>
    <t>Ghi chú</t>
  </si>
  <si>
    <t>Tổng chi phí cho 1 km</t>
  </si>
  <si>
    <t>Tỷ lệ lợi nhuận trên chi phí</t>
  </si>
  <si>
    <t>Tổng quãng đường xe chạy ngày đêm cuả 1 xe</t>
  </si>
  <si>
    <t>đồng/Km</t>
  </si>
  <si>
    <t>Tự cho</t>
  </si>
  <si>
    <t>Lệ phí cầu đường</t>
  </si>
  <si>
    <t>CP Đăng kiểm</t>
  </si>
  <si>
    <t>Tổng chi phí đăng kiểm</t>
  </si>
  <si>
    <t>Tổng lệ phí, bến phí…</t>
  </si>
  <si>
    <t>Tại thời điểm tính toán</t>
  </si>
  <si>
    <t>4. Định ngạch BD ĐK</t>
  </si>
  <si>
    <t>Thực tế khi lập KHBDSC thì không xác định chỉ tiêu này!</t>
  </si>
  <si>
    <t>2. CÁC KHOẢN TRÍCH THEO LƯƠNG LÁI XE</t>
  </si>
  <si>
    <t>Tiền thuê đất 1 năm</t>
  </si>
  <si>
    <t>Tổng thuế đầu vào</t>
  </si>
  <si>
    <t xml:space="preserve"> Giá cước làm tròn</t>
  </si>
  <si>
    <t>5.  CHI PHÍ TRÍCH TRƯỚC SĂM LỐP</t>
  </si>
  <si>
    <t xml:space="preserve"> Xe khách</t>
  </si>
  <si>
    <t>Tổng Chi phí BDN</t>
  </si>
  <si>
    <t>Tổng Chi phí BDĐK</t>
  </si>
  <si>
    <t>7. CHI PHÍ TRÍCH TRƯỚC KHẤU HAO CƠ BẢN</t>
  </si>
  <si>
    <t>Đ/xe</t>
  </si>
  <si>
    <t>Giá cước (Chưa bao gồm thuế VAT)</t>
  </si>
  <si>
    <t>Giá cước bao gồm thuế</t>
  </si>
  <si>
    <t>Dùng để tính chi phí cho 1 Km xe chạy</t>
  </si>
  <si>
    <t>Dùng để tính chi phí nhiên liệu, VLBT, BDSC, Săm lốp</t>
  </si>
  <si>
    <t>Loại lốp nào?</t>
  </si>
  <si>
    <t>Chi phí lệ phí, bến phí cho 1 Km xe chạy</t>
  </si>
  <si>
    <t>Chi phí thuế đầu vào cho 1 km xe chạy</t>
  </si>
  <si>
    <t>Tỉ trọng (%)</t>
  </si>
  <si>
    <t>Giá cước vận chuyển cho 1 chuyến</t>
  </si>
  <si>
    <t>Chỉ tiêu</t>
  </si>
  <si>
    <t>Giá trị</t>
  </si>
  <si>
    <t>Đơn vị</t>
  </si>
  <si>
    <t>Khoản trích</t>
  </si>
  <si>
    <t>(Đ/chuyến)</t>
  </si>
  <si>
    <t>6. CHI PHÍ BD ĐK VÀ SCTX</t>
  </si>
  <si>
    <t>- Vận tốc kỹ thuật</t>
  </si>
  <si>
    <t>Km/h</t>
  </si>
  <si>
    <t>11. THUẾ ĐẦU VÀO/CHI PHÍ VỐN VAY - THUÊ ĐẤT</t>
  </si>
  <si>
    <t>Thời gian dừng đỗ - Đối với vận tải HK</t>
  </si>
  <si>
    <t>Số lần SCTX (Sửa chữa nhỏ) tính bình quân cho 1000Km</t>
  </si>
  <si>
    <t>Ngày 20/03/2026</t>
  </si>
  <si>
    <t>Hệ số BDTX (BDN)</t>
  </si>
  <si>
    <t xml:space="preserve">Tổng Chi phí cho SCTX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</si>
</sst>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164" fontId="4" fillId="0" borderId="0" xfId="1" applyNumberFormat="1" applyFont="1"/>
    <xf numFmtId="43" fontId="4" fillId="0" borderId="0" xfId="0" applyNumberFormat="1" applyFont="1"/>
    <xf numFmtId="164" fontId="0" fillId="0" borderId="0" xfId="1" applyNumberFormat="1" applyFont="1"/>
    <xf numFmtId="43" fontId="0" fillId="0" borderId="0" xfId="0" applyNumberFormat="1"/>
    <xf numFmtId="0" fontId="7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64" fontId="0" fillId="0" borderId="1" xfId="1" applyNumberFormat="1" applyFont="1" applyBorder="1"/>
    <xf numFmtId="9" fontId="0" fillId="0" borderId="1" xfId="0" applyNumberFormat="1" applyBorder="1"/>
    <xf numFmtId="0" fontId="3" fillId="0" borderId="1" xfId="0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/>
    <xf numFmtId="0" fontId="0" fillId="3" borderId="1" xfId="0" applyFill="1" applyBorder="1"/>
    <xf numFmtId="164" fontId="3" fillId="0" borderId="1" xfId="1" applyNumberFormat="1" applyFont="1" applyBorder="1"/>
    <xf numFmtId="164" fontId="0" fillId="0" borderId="0" xfId="0" applyNumberFormat="1"/>
    <xf numFmtId="0" fontId="4" fillId="0" borderId="1" xfId="0" quotePrefix="1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quotePrefix="1" applyFont="1" applyBorder="1"/>
    <xf numFmtId="2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/>
    <xf numFmtId="1" fontId="9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/>
    <xf numFmtId="1" fontId="5" fillId="0" borderId="1" xfId="0" applyNumberFormat="1" applyFont="1" applyBorder="1"/>
    <xf numFmtId="0" fontId="6" fillId="0" borderId="1" xfId="0" applyFont="1" applyBorder="1"/>
    <xf numFmtId="164" fontId="6" fillId="0" borderId="1" xfId="1" applyNumberFormat="1" applyFont="1" applyBorder="1"/>
    <xf numFmtId="164" fontId="6" fillId="2" borderId="1" xfId="1" applyNumberFormat="1" applyFont="1" applyFill="1" applyBorder="1"/>
    <xf numFmtId="0" fontId="6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9" fontId="0" fillId="0" borderId="0" xfId="0" applyNumberFormat="1"/>
    <xf numFmtId="164" fontId="4" fillId="0" borderId="1" xfId="1" applyNumberFormat="1" applyFont="1" applyBorder="1"/>
    <xf numFmtId="164" fontId="5" fillId="0" borderId="1" xfId="1" applyNumberFormat="1" applyFont="1" applyBorder="1"/>
    <xf numFmtId="164" fontId="4" fillId="2" borderId="1" xfId="1" applyNumberFormat="1" applyFont="1" applyFill="1" applyBorder="1"/>
    <xf numFmtId="43" fontId="6" fillId="0" borderId="1" xfId="1" applyFont="1" applyBorder="1"/>
    <xf numFmtId="164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164" fontId="0" fillId="2" borderId="1" xfId="1" applyNumberFormat="1" applyFont="1" applyFill="1" applyBorder="1"/>
    <xf numFmtId="164" fontId="7" fillId="0" borderId="1" xfId="1" applyNumberFormat="1" applyFont="1" applyBorder="1"/>
    <xf numFmtId="43" fontId="7" fillId="0" borderId="1" xfId="1" applyFont="1" applyBorder="1"/>
    <xf numFmtId="164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/>
    <xf numFmtId="43" fontId="0" fillId="0" borderId="1" xfId="1" applyFont="1" applyBorder="1"/>
    <xf numFmtId="164" fontId="2" fillId="0" borderId="1" xfId="1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43" fontId="3" fillId="2" borderId="1" xfId="1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3" fontId="0" fillId="2" borderId="1" xfId="1" applyFont="1" applyFill="1" applyBorder="1"/>
    <xf numFmtId="164" fontId="3" fillId="2" borderId="1" xfId="1" applyNumberFormat="1" applyFont="1" applyFill="1" applyBorder="1"/>
    <xf numFmtId="0" fontId="7" fillId="2" borderId="1" xfId="0" applyFont="1" applyFill="1" applyBorder="1"/>
    <xf numFmtId="165" fontId="4" fillId="0" borderId="0" xfId="1" applyNumberFormat="1" applyFont="1"/>
    <xf numFmtId="0" fontId="0" fillId="0" borderId="0" xfId="0" quotePrefix="1"/>
    <xf numFmtId="166" fontId="0" fillId="0" borderId="0" xfId="0" applyNumberFormat="1"/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4" zoomScaleNormal="100" workbookViewId="0">
      <selection activeCell="B20" sqref="B20"/>
    </sheetView>
  </sheetViews>
  <sheetFormatPr defaultColWidth="8.90625" defaultRowHeight="15.5" x14ac:dyDescent="0.35"/>
  <cols>
    <col min="1" max="1" width="49.6328125" style="3" customWidth="1"/>
    <col min="2" max="2" width="14.08984375" style="4" bestFit="1" customWidth="1"/>
    <col min="3" max="3" width="8.90625" style="5"/>
    <col min="4" max="16384" width="8.90625" style="3"/>
  </cols>
  <sheetData>
    <row r="1" spans="1:5" x14ac:dyDescent="0.35">
      <c r="A1" s="77" t="s">
        <v>20</v>
      </c>
      <c r="B1" s="77"/>
      <c r="C1" s="77"/>
    </row>
    <row r="3" spans="1:5" ht="19.25" customHeight="1" x14ac:dyDescent="0.35">
      <c r="A3" s="26" t="s">
        <v>13</v>
      </c>
      <c r="B3" s="27">
        <f>B8/B9</f>
        <v>2.2222222222222223</v>
      </c>
      <c r="C3" s="28" t="s">
        <v>0</v>
      </c>
    </row>
    <row r="4" spans="1:5" ht="19.25" customHeight="1" x14ac:dyDescent="0.35">
      <c r="A4" s="26" t="s">
        <v>1</v>
      </c>
      <c r="B4" s="27">
        <v>1</v>
      </c>
      <c r="C4" s="28" t="s">
        <v>11</v>
      </c>
      <c r="D4" s="3" t="s">
        <v>155</v>
      </c>
    </row>
    <row r="5" spans="1:5" ht="19.25" customHeight="1" x14ac:dyDescent="0.35">
      <c r="A5" s="26" t="s">
        <v>4</v>
      </c>
      <c r="B5" s="27">
        <v>0.5</v>
      </c>
      <c r="C5" s="28" t="s">
        <v>11</v>
      </c>
      <c r="E5" s="3" t="s">
        <v>191</v>
      </c>
    </row>
    <row r="6" spans="1:5" s="6" customFormat="1" ht="19.25" customHeight="1" x14ac:dyDescent="0.35">
      <c r="A6" s="29" t="s">
        <v>3</v>
      </c>
      <c r="B6" s="30">
        <f>SUM(B3:B5)</f>
        <v>3.7222222222222223</v>
      </c>
      <c r="C6" s="31" t="s">
        <v>11</v>
      </c>
    </row>
    <row r="7" spans="1:5" ht="19.25" customHeight="1" x14ac:dyDescent="0.35">
      <c r="A7" s="26" t="s">
        <v>2</v>
      </c>
      <c r="B7" s="32">
        <v>10</v>
      </c>
      <c r="C7" s="28" t="s">
        <v>5</v>
      </c>
      <c r="D7" s="3" t="s">
        <v>155</v>
      </c>
    </row>
    <row r="8" spans="1:5" ht="19.25" customHeight="1" x14ac:dyDescent="0.35">
      <c r="A8" s="26" t="s">
        <v>6</v>
      </c>
      <c r="B8" s="33">
        <v>100</v>
      </c>
      <c r="C8" s="28" t="s">
        <v>5</v>
      </c>
    </row>
    <row r="9" spans="1:5" ht="19.25" customHeight="1" x14ac:dyDescent="0.35">
      <c r="A9" s="26" t="s">
        <v>188</v>
      </c>
      <c r="B9" s="33">
        <v>45</v>
      </c>
      <c r="C9" s="28" t="s">
        <v>189</v>
      </c>
    </row>
    <row r="10" spans="1:5" ht="19.25" customHeight="1" x14ac:dyDescent="0.35">
      <c r="A10" s="26" t="s">
        <v>8</v>
      </c>
      <c r="B10" s="33">
        <v>720</v>
      </c>
      <c r="C10" s="28" t="s">
        <v>9</v>
      </c>
    </row>
    <row r="11" spans="1:5" ht="19.25" customHeight="1" x14ac:dyDescent="0.35">
      <c r="A11" s="26" t="s">
        <v>7</v>
      </c>
      <c r="B11" s="32">
        <f>B10/360</f>
        <v>2</v>
      </c>
      <c r="C11" s="28" t="s">
        <v>9</v>
      </c>
    </row>
    <row r="12" spans="1:5" ht="19.25" customHeight="1" x14ac:dyDescent="0.35">
      <c r="A12" s="26" t="s">
        <v>22</v>
      </c>
      <c r="B12" s="32">
        <f>B11*30</f>
        <v>60</v>
      </c>
      <c r="C12" s="28" t="s">
        <v>9</v>
      </c>
    </row>
    <row r="13" spans="1:5" s="6" customFormat="1" ht="19.25" customHeight="1" x14ac:dyDescent="0.35">
      <c r="A13" s="34" t="s">
        <v>153</v>
      </c>
      <c r="B13" s="30">
        <f>B8*B11+B7</f>
        <v>210</v>
      </c>
      <c r="C13" s="31" t="s">
        <v>10</v>
      </c>
    </row>
    <row r="14" spans="1:5" s="6" customFormat="1" ht="19.25" customHeight="1" x14ac:dyDescent="0.35">
      <c r="A14" s="37" t="s">
        <v>27</v>
      </c>
      <c r="B14" s="39">
        <f>B13*360*B17</f>
        <v>2268000</v>
      </c>
      <c r="C14" s="40" t="s">
        <v>10</v>
      </c>
      <c r="E14" s="6" t="s">
        <v>175</v>
      </c>
    </row>
    <row r="15" spans="1:5" s="6" customFormat="1" ht="19.25" customHeight="1" x14ac:dyDescent="0.35">
      <c r="A15" s="29" t="s">
        <v>12</v>
      </c>
      <c r="B15" s="30">
        <f>B6*B11</f>
        <v>7.4444444444444446</v>
      </c>
      <c r="C15" s="31" t="s">
        <v>11</v>
      </c>
    </row>
    <row r="16" spans="1:5" ht="19.25" customHeight="1" x14ac:dyDescent="0.35">
      <c r="A16" s="35" t="s">
        <v>14</v>
      </c>
      <c r="B16" s="32">
        <v>1</v>
      </c>
      <c r="C16" s="28"/>
    </row>
    <row r="17" spans="1:5" ht="19.25" customHeight="1" x14ac:dyDescent="0.35">
      <c r="A17" s="35" t="s">
        <v>16</v>
      </c>
      <c r="B17" s="33">
        <v>30</v>
      </c>
      <c r="C17" s="28" t="s">
        <v>17</v>
      </c>
    </row>
    <row r="18" spans="1:5" s="6" customFormat="1" ht="19.25" customHeight="1" x14ac:dyDescent="0.35">
      <c r="A18" s="34" t="s">
        <v>15</v>
      </c>
      <c r="B18" s="36">
        <f>B16*B17</f>
        <v>30</v>
      </c>
      <c r="C18" s="31" t="s">
        <v>18</v>
      </c>
    </row>
    <row r="19" spans="1:5" ht="19.25" customHeight="1" x14ac:dyDescent="0.35">
      <c r="A19" s="35"/>
      <c r="B19" s="27"/>
      <c r="C19" s="28"/>
    </row>
    <row r="20" spans="1:5" ht="19.25" customHeight="1" x14ac:dyDescent="0.35">
      <c r="A20" s="37" t="s">
        <v>44</v>
      </c>
      <c r="B20" s="38">
        <f>B14*0.3*1+B14*0.4*1.15+B14*0.3*1.25</f>
        <v>2574180</v>
      </c>
      <c r="C20" s="28" t="s">
        <v>5</v>
      </c>
      <c r="E20" s="3" t="s">
        <v>176</v>
      </c>
    </row>
    <row r="21" spans="1:5" ht="19.25" customHeight="1" x14ac:dyDescent="0.35"/>
    <row r="22" spans="1:5" ht="19.25" customHeight="1" x14ac:dyDescent="0.35"/>
    <row r="23" spans="1:5" ht="19.25" customHeight="1" x14ac:dyDescent="0.35"/>
    <row r="24" spans="1:5" ht="19.25" customHeight="1" x14ac:dyDescent="0.35"/>
    <row r="25" spans="1:5" ht="19.25" customHeight="1" x14ac:dyDescent="0.35"/>
    <row r="26" spans="1:5" ht="19.25" customHeight="1" x14ac:dyDescent="0.35"/>
    <row r="27" spans="1:5" ht="19.25" customHeight="1" x14ac:dyDescent="0.35"/>
    <row r="28" spans="1:5" ht="19.25" customHeight="1" x14ac:dyDescent="0.35"/>
    <row r="29" spans="1:5" ht="19.25" customHeight="1" x14ac:dyDescent="0.35"/>
    <row r="30" spans="1:5" ht="19.25" customHeight="1" x14ac:dyDescent="0.35"/>
    <row r="31" spans="1:5" ht="19.25" customHeight="1" x14ac:dyDescent="0.35"/>
    <row r="32" spans="1:5" ht="19.25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B11" sqref="B11"/>
    </sheetView>
  </sheetViews>
  <sheetFormatPr defaultColWidth="8.90625" defaultRowHeight="15.5" x14ac:dyDescent="0.35"/>
  <cols>
    <col min="1" max="1" width="38.1796875" style="3" customWidth="1"/>
    <col min="2" max="2" width="16.36328125" style="7" customWidth="1"/>
    <col min="3" max="3" width="8.90625" style="3"/>
    <col min="4" max="4" width="14.08984375" style="3" bestFit="1" customWidth="1"/>
    <col min="5" max="16384" width="8.90625" style="3"/>
  </cols>
  <sheetData>
    <row r="1" spans="1:4" s="6" customFormat="1" ht="19.25" customHeight="1" x14ac:dyDescent="0.35">
      <c r="A1" s="78" t="s">
        <v>55</v>
      </c>
      <c r="B1" s="78"/>
      <c r="C1" s="78"/>
    </row>
    <row r="2" spans="1:4" ht="19.25" customHeight="1" x14ac:dyDescent="0.35"/>
    <row r="3" spans="1:4" ht="21" customHeight="1" x14ac:dyDescent="0.35">
      <c r="A3" s="31" t="s">
        <v>182</v>
      </c>
      <c r="B3" s="48" t="s">
        <v>183</v>
      </c>
      <c r="C3" s="31" t="s">
        <v>184</v>
      </c>
    </row>
    <row r="4" spans="1:4" ht="21" customHeight="1" x14ac:dyDescent="0.35">
      <c r="A4" s="35" t="s">
        <v>19</v>
      </c>
      <c r="B4" s="44">
        <f>Chung!B18</f>
        <v>30</v>
      </c>
      <c r="C4" s="28" t="s">
        <v>18</v>
      </c>
    </row>
    <row r="5" spans="1:4" ht="21" customHeight="1" x14ac:dyDescent="0.35">
      <c r="A5" s="35" t="s">
        <v>21</v>
      </c>
      <c r="B5" s="44">
        <v>15000000</v>
      </c>
      <c r="C5" s="28" t="s">
        <v>23</v>
      </c>
    </row>
    <row r="6" spans="1:4" ht="21" customHeight="1" x14ac:dyDescent="0.35">
      <c r="A6" s="35" t="s">
        <v>24</v>
      </c>
      <c r="B6" s="44">
        <f>B4*B5</f>
        <v>450000000</v>
      </c>
      <c r="C6" s="28" t="s">
        <v>26</v>
      </c>
    </row>
    <row r="7" spans="1:4" ht="21" customHeight="1" x14ac:dyDescent="0.35">
      <c r="A7" s="35" t="s">
        <v>25</v>
      </c>
      <c r="B7" s="45">
        <f>B6*12</f>
        <v>5400000000</v>
      </c>
      <c r="C7" s="28" t="s">
        <v>26</v>
      </c>
    </row>
    <row r="8" spans="1:4" ht="21" customHeight="1" x14ac:dyDescent="0.35">
      <c r="A8" s="35" t="s">
        <v>28</v>
      </c>
      <c r="B8" s="44">
        <f>Chung!B10</f>
        <v>720</v>
      </c>
      <c r="C8" s="28" t="s">
        <v>31</v>
      </c>
    </row>
    <row r="9" spans="1:4" ht="21" customHeight="1" x14ac:dyDescent="0.35">
      <c r="A9" s="35" t="s">
        <v>29</v>
      </c>
      <c r="B9" s="46">
        <f>Chung!B14</f>
        <v>2268000</v>
      </c>
      <c r="C9" s="28" t="s">
        <v>30</v>
      </c>
    </row>
    <row r="10" spans="1:4" ht="21" customHeight="1" x14ac:dyDescent="0.35">
      <c r="A10" s="37" t="s">
        <v>32</v>
      </c>
      <c r="B10" s="47">
        <f>B7/B9</f>
        <v>2380.9523809523807</v>
      </c>
      <c r="C10" s="40" t="s">
        <v>33</v>
      </c>
      <c r="D10" s="8"/>
    </row>
    <row r="11" spans="1:4" ht="19.25" customHeight="1" x14ac:dyDescent="0.35"/>
    <row r="12" spans="1:4" ht="19.25" customHeight="1" x14ac:dyDescent="0.35">
      <c r="B12" s="70"/>
    </row>
    <row r="13" spans="1:4" ht="19.25" customHeight="1" x14ac:dyDescent="0.35"/>
    <row r="14" spans="1:4" ht="19.25" customHeight="1" x14ac:dyDescent="0.35"/>
    <row r="15" spans="1:4" ht="19.25" customHeight="1" x14ac:dyDescent="0.35"/>
    <row r="16" spans="1:4" ht="19.25" customHeight="1" x14ac:dyDescent="0.35"/>
    <row r="17" ht="19.25" customHeight="1" x14ac:dyDescent="0.35"/>
    <row r="18" ht="19.25" customHeight="1" x14ac:dyDescent="0.35"/>
    <row r="19" ht="19.25" customHeight="1" x14ac:dyDescent="0.35"/>
    <row r="20" ht="19.25" customHeight="1" x14ac:dyDescent="0.35"/>
    <row r="21" ht="19.25" customHeight="1" x14ac:dyDescent="0.35"/>
    <row r="22" ht="19.25" customHeight="1" x14ac:dyDescent="0.35"/>
    <row r="23" ht="19.25" customHeight="1" x14ac:dyDescent="0.35"/>
    <row r="24" ht="19.25" customHeight="1" x14ac:dyDescent="0.35"/>
    <row r="25" ht="19.25" customHeight="1" x14ac:dyDescent="0.35"/>
    <row r="26" ht="19.25" customHeight="1" x14ac:dyDescent="0.35"/>
    <row r="27" ht="19.25" customHeight="1" x14ac:dyDescent="0.35"/>
    <row r="28" ht="19.25" customHeight="1" x14ac:dyDescent="0.35"/>
    <row r="29" ht="19.25" customHeight="1" x14ac:dyDescent="0.35"/>
    <row r="30" ht="19.25" customHeight="1" x14ac:dyDescent="0.35"/>
    <row r="31" ht="19.25" customHeight="1" x14ac:dyDescent="0.35"/>
    <row r="32" ht="19.25" customHeight="1" x14ac:dyDescent="0.35"/>
    <row r="33" ht="19.25" customHeight="1" x14ac:dyDescent="0.35"/>
    <row r="34" ht="19.25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="120" zoomScaleNormal="120" workbookViewId="0">
      <selection activeCell="C10" sqref="C10"/>
    </sheetView>
  </sheetViews>
  <sheetFormatPr defaultRowHeight="14.5" x14ac:dyDescent="0.35"/>
  <cols>
    <col min="1" max="1" width="30.1796875" customWidth="1"/>
    <col min="2" max="3" width="14.81640625" customWidth="1"/>
    <col min="4" max="4" width="13.81640625" customWidth="1"/>
    <col min="6" max="6" width="10.08984375" bestFit="1" customWidth="1"/>
  </cols>
  <sheetData>
    <row r="1" spans="1:6" s="1" customFormat="1" ht="22.75" customHeight="1" x14ac:dyDescent="0.35">
      <c r="A1" s="79" t="s">
        <v>163</v>
      </c>
      <c r="B1" s="79"/>
      <c r="C1" s="79"/>
      <c r="D1" s="79"/>
    </row>
    <row r="2" spans="1:6" s="1" customFormat="1" ht="22.75" customHeight="1" x14ac:dyDescent="0.35">
      <c r="A2" s="13" t="s">
        <v>185</v>
      </c>
      <c r="B2" s="13" t="s">
        <v>38</v>
      </c>
      <c r="C2" s="13" t="s">
        <v>39</v>
      </c>
      <c r="D2" s="13" t="s">
        <v>40</v>
      </c>
    </row>
    <row r="3" spans="1:6" ht="22.75" customHeight="1" x14ac:dyDescent="0.35">
      <c r="A3" s="14" t="s">
        <v>34</v>
      </c>
      <c r="B3" s="14">
        <v>17.5</v>
      </c>
      <c r="C3" s="14">
        <v>8</v>
      </c>
      <c r="D3" s="14">
        <f>B3+C3</f>
        <v>25.5</v>
      </c>
    </row>
    <row r="4" spans="1:6" ht="22.75" customHeight="1" x14ac:dyDescent="0.35">
      <c r="A4" s="14" t="s">
        <v>35</v>
      </c>
      <c r="B4" s="14">
        <v>3</v>
      </c>
      <c r="C4" s="14">
        <v>1.5</v>
      </c>
      <c r="D4" s="14">
        <f t="shared" ref="D4:D6" si="0">B4+C4</f>
        <v>4.5</v>
      </c>
    </row>
    <row r="5" spans="1:6" ht="22.75" customHeight="1" x14ac:dyDescent="0.35">
      <c r="A5" s="14" t="s">
        <v>36</v>
      </c>
      <c r="B5" s="14">
        <v>1</v>
      </c>
      <c r="C5" s="14">
        <v>1</v>
      </c>
      <c r="D5" s="14">
        <f t="shared" si="0"/>
        <v>2</v>
      </c>
    </row>
    <row r="6" spans="1:6" ht="22.75" customHeight="1" x14ac:dyDescent="0.35">
      <c r="A6" s="14" t="s">
        <v>37</v>
      </c>
      <c r="B6" s="14">
        <v>2</v>
      </c>
      <c r="C6" s="14">
        <v>0</v>
      </c>
      <c r="D6" s="14">
        <f t="shared" si="0"/>
        <v>2</v>
      </c>
    </row>
    <row r="7" spans="1:6" ht="22.75" customHeight="1" x14ac:dyDescent="0.35">
      <c r="A7" s="14"/>
      <c r="B7" s="19">
        <f>SUM(B3:B6)</f>
        <v>23.5</v>
      </c>
      <c r="C7" s="14">
        <f t="shared" ref="C7" si="1">SUM(C3:C6)</f>
        <v>10.5</v>
      </c>
      <c r="D7" s="14">
        <f>B7+C7</f>
        <v>34</v>
      </c>
    </row>
    <row r="8" spans="1:6" ht="22.75" customHeight="1" x14ac:dyDescent="0.35">
      <c r="A8" s="14" t="s">
        <v>67</v>
      </c>
      <c r="B8" s="14"/>
      <c r="C8" s="17">
        <f>'Tiền lương của LX'!B7</f>
        <v>5400000000</v>
      </c>
      <c r="D8" s="49" t="s">
        <v>26</v>
      </c>
    </row>
    <row r="9" spans="1:6" ht="22.75" customHeight="1" x14ac:dyDescent="0.35">
      <c r="A9" s="19" t="s">
        <v>41</v>
      </c>
      <c r="B9" s="19"/>
      <c r="C9" s="24">
        <f>B7%*C8</f>
        <v>1269000000</v>
      </c>
      <c r="D9" s="13" t="s">
        <v>26</v>
      </c>
    </row>
    <row r="10" spans="1:6" ht="22.75" customHeight="1" x14ac:dyDescent="0.35">
      <c r="A10" s="50" t="s">
        <v>42</v>
      </c>
      <c r="B10" s="19"/>
      <c r="C10" s="51">
        <f>C9/Chung!B14</f>
        <v>559.52380952380952</v>
      </c>
      <c r="D10" s="52" t="s">
        <v>43</v>
      </c>
      <c r="F10" s="10"/>
    </row>
    <row r="11" spans="1:6" ht="22.75" customHeight="1" x14ac:dyDescent="0.35"/>
    <row r="12" spans="1:6" ht="22.75" customHeight="1" x14ac:dyDescent="0.35"/>
    <row r="13" spans="1:6" ht="22.75" customHeight="1" x14ac:dyDescent="0.35"/>
    <row r="14" spans="1:6" ht="22.75" customHeight="1" x14ac:dyDescent="0.35"/>
    <row r="15" spans="1:6" ht="22.75" customHeight="1" x14ac:dyDescent="0.35"/>
    <row r="16" spans="1:6" ht="22.75" customHeight="1" x14ac:dyDescent="0.35"/>
    <row r="17" ht="22.75" customHeight="1" x14ac:dyDescent="0.35"/>
    <row r="18" ht="22.75" customHeight="1" x14ac:dyDescent="0.35"/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="120" zoomScaleNormal="120" workbookViewId="0">
      <selection activeCell="C13" sqref="C13"/>
    </sheetView>
  </sheetViews>
  <sheetFormatPr defaultRowHeight="14.5" x14ac:dyDescent="0.35"/>
  <cols>
    <col min="1" max="1" width="47.08984375" customWidth="1"/>
    <col min="2" max="2" width="17.1796875" style="9" customWidth="1"/>
  </cols>
  <sheetData>
    <row r="1" spans="1:8" ht="19.25" customHeight="1" x14ac:dyDescent="0.35">
      <c r="A1" s="79" t="s">
        <v>56</v>
      </c>
      <c r="B1" s="79"/>
      <c r="C1" s="79"/>
    </row>
    <row r="2" spans="1:8" ht="19.25" customHeight="1" x14ac:dyDescent="0.35"/>
    <row r="3" spans="1:8" ht="19.25" customHeight="1" x14ac:dyDescent="0.35">
      <c r="A3" s="13" t="s">
        <v>182</v>
      </c>
      <c r="B3" s="56" t="s">
        <v>183</v>
      </c>
      <c r="C3" s="13" t="s">
        <v>184</v>
      </c>
    </row>
    <row r="4" spans="1:8" ht="19.25" customHeight="1" x14ac:dyDescent="0.35">
      <c r="A4" s="14" t="s">
        <v>45</v>
      </c>
      <c r="B4" s="53">
        <f>Chung!B14</f>
        <v>2268000</v>
      </c>
      <c r="C4" s="14" t="s">
        <v>10</v>
      </c>
    </row>
    <row r="5" spans="1:8" ht="19.25" customHeight="1" x14ac:dyDescent="0.35">
      <c r="A5" s="50" t="s">
        <v>46</v>
      </c>
      <c r="B5" s="54">
        <f>Chung!B20</f>
        <v>2574180</v>
      </c>
      <c r="C5" s="14" t="s">
        <v>5</v>
      </c>
    </row>
    <row r="6" spans="1:8" ht="19.25" customHeight="1" x14ac:dyDescent="0.35">
      <c r="A6" s="14" t="s">
        <v>47</v>
      </c>
      <c r="B6" s="17">
        <v>20</v>
      </c>
      <c r="C6" s="14" t="s">
        <v>48</v>
      </c>
    </row>
    <row r="7" spans="1:8" ht="19.25" customHeight="1" x14ac:dyDescent="0.35">
      <c r="A7" s="14" t="s">
        <v>49</v>
      </c>
      <c r="B7" s="53">
        <v>33042</v>
      </c>
      <c r="C7" s="14" t="s">
        <v>50</v>
      </c>
      <c r="E7" t="s">
        <v>160</v>
      </c>
      <c r="H7" t="s">
        <v>193</v>
      </c>
    </row>
    <row r="8" spans="1:8" ht="19.25" customHeight="1" x14ac:dyDescent="0.35">
      <c r="A8" s="19" t="s">
        <v>51</v>
      </c>
      <c r="B8" s="24">
        <f>(B5/100)*B6</f>
        <v>514836</v>
      </c>
      <c r="C8" s="14" t="s">
        <v>53</v>
      </c>
      <c r="D8" t="s">
        <v>68</v>
      </c>
    </row>
    <row r="9" spans="1:8" ht="19.25" customHeight="1" x14ac:dyDescent="0.35">
      <c r="A9" s="14" t="s">
        <v>52</v>
      </c>
      <c r="B9" s="24">
        <f>B8*B7</f>
        <v>17011211112</v>
      </c>
      <c r="C9" s="14" t="s">
        <v>26</v>
      </c>
    </row>
    <row r="10" spans="1:8" ht="19.25" customHeight="1" x14ac:dyDescent="0.35">
      <c r="A10" s="50" t="s">
        <v>54</v>
      </c>
      <c r="B10" s="55">
        <f>B9/B4</f>
        <v>7500.5339999999997</v>
      </c>
      <c r="C10" s="50" t="s">
        <v>33</v>
      </c>
    </row>
    <row r="11" spans="1:8" ht="19.25" customHeight="1" x14ac:dyDescent="0.35"/>
    <row r="12" spans="1:8" ht="19.25" customHeight="1" x14ac:dyDescent="0.35"/>
    <row r="13" spans="1:8" ht="19.25" customHeight="1" x14ac:dyDescent="0.35"/>
    <row r="14" spans="1:8" ht="19.25" customHeight="1" x14ac:dyDescent="0.35"/>
    <row r="15" spans="1:8" ht="19.25" customHeight="1" x14ac:dyDescent="0.35"/>
    <row r="16" spans="1:8" ht="19.25" customHeight="1" x14ac:dyDescent="0.35"/>
    <row r="17" ht="19.25" customHeight="1" x14ac:dyDescent="0.35"/>
    <row r="18" ht="19.25" customHeight="1" x14ac:dyDescent="0.35"/>
    <row r="19" ht="19.25" customHeight="1" x14ac:dyDescent="0.35"/>
    <row r="20" ht="19.25" customHeight="1" x14ac:dyDescent="0.35"/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="115" zoomScaleNormal="115" workbookViewId="0">
      <selection activeCell="B9" sqref="B9"/>
    </sheetView>
  </sheetViews>
  <sheetFormatPr defaultRowHeight="18.649999999999999" customHeight="1" x14ac:dyDescent="0.35"/>
  <cols>
    <col min="1" max="1" width="33.36328125" customWidth="1"/>
    <col min="2" max="2" width="14.54296875" style="9" customWidth="1"/>
    <col min="3" max="3" width="8.90625" style="2"/>
  </cols>
  <sheetData>
    <row r="1" spans="1:3" s="1" customFormat="1" ht="18.649999999999999" customHeight="1" x14ac:dyDescent="0.35">
      <c r="A1" s="79" t="s">
        <v>57</v>
      </c>
      <c r="B1" s="79"/>
      <c r="C1" s="79"/>
    </row>
    <row r="3" spans="1:3" ht="18.649999999999999" customHeight="1" x14ac:dyDescent="0.35">
      <c r="A3" s="13" t="s">
        <v>182</v>
      </c>
      <c r="B3" s="56" t="s">
        <v>183</v>
      </c>
      <c r="C3" s="13" t="s">
        <v>184</v>
      </c>
    </row>
    <row r="4" spans="1:3" ht="18.649999999999999" customHeight="1" x14ac:dyDescent="0.35">
      <c r="A4" s="14" t="s">
        <v>58</v>
      </c>
      <c r="B4" s="17">
        <f>'CP NL'!B8</f>
        <v>514836</v>
      </c>
      <c r="C4" s="15" t="s">
        <v>59</v>
      </c>
    </row>
    <row r="5" spans="1:3" ht="18.649999999999999" customHeight="1" x14ac:dyDescent="0.35">
      <c r="A5" s="14" t="s">
        <v>60</v>
      </c>
      <c r="B5" s="17">
        <v>4</v>
      </c>
      <c r="C5" s="15" t="s">
        <v>61</v>
      </c>
    </row>
    <row r="6" spans="1:3" ht="18.649999999999999" customHeight="1" x14ac:dyDescent="0.35">
      <c r="A6" s="14" t="s">
        <v>62</v>
      </c>
      <c r="B6" s="17">
        <f>B4*B5%</f>
        <v>20593.439999999999</v>
      </c>
      <c r="C6" s="15" t="s">
        <v>53</v>
      </c>
    </row>
    <row r="7" spans="1:3" ht="18.649999999999999" customHeight="1" x14ac:dyDescent="0.35">
      <c r="A7" s="14" t="s">
        <v>63</v>
      </c>
      <c r="B7" s="17">
        <v>90000</v>
      </c>
      <c r="C7" s="15" t="s">
        <v>64</v>
      </c>
    </row>
    <row r="8" spans="1:3" ht="18.649999999999999" customHeight="1" x14ac:dyDescent="0.35">
      <c r="A8" s="14" t="s">
        <v>65</v>
      </c>
      <c r="B8" s="53">
        <f>B6*B7</f>
        <v>1853409600</v>
      </c>
      <c r="C8" s="15" t="s">
        <v>26</v>
      </c>
    </row>
    <row r="9" spans="1:3" ht="18.649999999999999" customHeight="1" x14ac:dyDescent="0.35">
      <c r="A9" s="50" t="s">
        <v>66</v>
      </c>
      <c r="B9" s="55">
        <f>B8/Chung!B14</f>
        <v>817.2</v>
      </c>
      <c r="C9" s="52" t="s">
        <v>33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zoomScale="115" zoomScaleNormal="115" workbookViewId="0">
      <selection activeCell="B12" sqref="B12"/>
    </sheetView>
  </sheetViews>
  <sheetFormatPr defaultRowHeight="14.5" x14ac:dyDescent="0.35"/>
  <cols>
    <col min="1" max="1" width="46.81640625" customWidth="1"/>
    <col min="2" max="2" width="15.36328125" style="9" customWidth="1"/>
  </cols>
  <sheetData>
    <row r="1" spans="1:4" ht="19.25" customHeight="1" x14ac:dyDescent="0.35">
      <c r="A1" s="79" t="s">
        <v>167</v>
      </c>
      <c r="B1" s="79"/>
      <c r="C1" s="79"/>
      <c r="D1" s="1"/>
    </row>
    <row r="2" spans="1:4" ht="19.25" customHeight="1" x14ac:dyDescent="0.35"/>
    <row r="3" spans="1:4" ht="19.25" customHeight="1" x14ac:dyDescent="0.35">
      <c r="A3" s="13" t="s">
        <v>182</v>
      </c>
      <c r="B3" s="56" t="s">
        <v>183</v>
      </c>
      <c r="C3" s="13" t="s">
        <v>184</v>
      </c>
    </row>
    <row r="4" spans="1:4" ht="19.25" customHeight="1" x14ac:dyDescent="0.35">
      <c r="A4" s="14" t="s">
        <v>69</v>
      </c>
      <c r="B4" s="17">
        <f>Chung!B14</f>
        <v>2268000</v>
      </c>
      <c r="C4" s="15" t="s">
        <v>5</v>
      </c>
    </row>
    <row r="5" spans="1:4" ht="19.25" customHeight="1" x14ac:dyDescent="0.35">
      <c r="A5" s="14" t="s">
        <v>46</v>
      </c>
      <c r="B5" s="53">
        <f>Chung!B20</f>
        <v>2574180</v>
      </c>
      <c r="C5" s="15" t="s">
        <v>5</v>
      </c>
    </row>
    <row r="6" spans="1:4" ht="19.25" customHeight="1" x14ac:dyDescent="0.35">
      <c r="A6" s="14" t="s">
        <v>70</v>
      </c>
      <c r="B6" s="17">
        <v>50000</v>
      </c>
      <c r="C6" s="15" t="s">
        <v>30</v>
      </c>
      <c r="D6" t="s">
        <v>177</v>
      </c>
    </row>
    <row r="7" spans="1:4" ht="19.25" customHeight="1" x14ac:dyDescent="0.35">
      <c r="A7" s="14" t="s">
        <v>71</v>
      </c>
      <c r="B7" s="17">
        <v>3000000</v>
      </c>
      <c r="C7" s="15" t="s">
        <v>72</v>
      </c>
    </row>
    <row r="8" spans="1:4" ht="19.25" customHeight="1" x14ac:dyDescent="0.35">
      <c r="A8" s="14" t="s">
        <v>74</v>
      </c>
      <c r="B8" s="17">
        <v>6</v>
      </c>
      <c r="C8" s="15" t="s">
        <v>75</v>
      </c>
    </row>
    <row r="9" spans="1:4" ht="19.25" customHeight="1" x14ac:dyDescent="0.35">
      <c r="A9" s="19" t="s">
        <v>73</v>
      </c>
      <c r="B9" s="57">
        <f>(B5/B6)*B8</f>
        <v>308.90160000000003</v>
      </c>
      <c r="C9" s="13" t="s">
        <v>76</v>
      </c>
    </row>
    <row r="10" spans="1:4" ht="19.25" customHeight="1" x14ac:dyDescent="0.35">
      <c r="A10" s="19" t="s">
        <v>77</v>
      </c>
      <c r="B10" s="24">
        <f>B9*B7</f>
        <v>926704800.00000012</v>
      </c>
      <c r="C10" s="13" t="s">
        <v>78</v>
      </c>
    </row>
    <row r="11" spans="1:4" ht="19.25" customHeight="1" x14ac:dyDescent="0.35">
      <c r="A11" s="50" t="s">
        <v>79</v>
      </c>
      <c r="B11" s="54">
        <f>B10/B4</f>
        <v>408.60000000000008</v>
      </c>
      <c r="C11" s="52" t="s">
        <v>80</v>
      </c>
    </row>
    <row r="12" spans="1:4" ht="19.25" customHeight="1" x14ac:dyDescent="0.35"/>
    <row r="13" spans="1:4" ht="19.25" customHeight="1" x14ac:dyDescent="0.35"/>
    <row r="14" spans="1:4" ht="19.25" customHeight="1" x14ac:dyDescent="0.35"/>
    <row r="15" spans="1:4" ht="19.25" customHeight="1" x14ac:dyDescent="0.35"/>
    <row r="16" spans="1:4" ht="19.25" customHeight="1" x14ac:dyDescent="0.35"/>
    <row r="17" ht="19.25" customHeight="1" x14ac:dyDescent="0.35"/>
    <row r="18" ht="19.25" customHeight="1" x14ac:dyDescent="0.35"/>
    <row r="19" ht="19.25" customHeight="1" x14ac:dyDescent="0.35"/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zoomScale="110" zoomScaleNormal="110" workbookViewId="0">
      <selection activeCell="B26" sqref="B26"/>
    </sheetView>
  </sheetViews>
  <sheetFormatPr defaultRowHeight="14.5" x14ac:dyDescent="0.35"/>
  <cols>
    <col min="1" max="1" width="44.6328125" customWidth="1"/>
    <col min="2" max="2" width="14.90625" style="9" customWidth="1"/>
    <col min="3" max="3" width="8.90625" style="2"/>
    <col min="5" max="5" width="10.81640625" bestFit="1" customWidth="1"/>
    <col min="6" max="6" width="13.54296875" bestFit="1" customWidth="1"/>
  </cols>
  <sheetData>
    <row r="1" spans="1:6" s="1" customFormat="1" ht="18" customHeight="1" x14ac:dyDescent="0.35">
      <c r="A1" s="79" t="s">
        <v>187</v>
      </c>
      <c r="B1" s="79"/>
      <c r="C1" s="79"/>
    </row>
    <row r="2" spans="1:6" ht="18" customHeight="1" x14ac:dyDescent="0.35"/>
    <row r="3" spans="1:6" ht="18" customHeight="1" x14ac:dyDescent="0.35">
      <c r="A3" s="13" t="s">
        <v>182</v>
      </c>
      <c r="B3" s="56" t="s">
        <v>183</v>
      </c>
      <c r="C3" s="13" t="s">
        <v>184</v>
      </c>
    </row>
    <row r="4" spans="1:6" ht="18" customHeight="1" x14ac:dyDescent="0.35">
      <c r="A4" s="14" t="s">
        <v>81</v>
      </c>
      <c r="B4" s="17">
        <f>Chung!B14</f>
        <v>2268000</v>
      </c>
      <c r="C4" s="15" t="s">
        <v>5</v>
      </c>
    </row>
    <row r="5" spans="1:6" ht="18" customHeight="1" x14ac:dyDescent="0.35">
      <c r="A5" s="14" t="s">
        <v>46</v>
      </c>
      <c r="B5" s="53">
        <f>Chung!B20</f>
        <v>2574180</v>
      </c>
      <c r="C5" s="15" t="s">
        <v>5</v>
      </c>
      <c r="F5" s="25">
        <f>B5/30</f>
        <v>85806</v>
      </c>
    </row>
    <row r="6" spans="1:6" ht="18" customHeight="1" x14ac:dyDescent="0.35">
      <c r="A6" s="14" t="s">
        <v>82</v>
      </c>
      <c r="B6" s="58">
        <v>0.9</v>
      </c>
      <c r="C6" s="15"/>
      <c r="D6" s="12" t="s">
        <v>155</v>
      </c>
    </row>
    <row r="7" spans="1:6" ht="18" customHeight="1" x14ac:dyDescent="0.35">
      <c r="A7" s="14" t="s">
        <v>161</v>
      </c>
      <c r="B7" s="59">
        <v>8000</v>
      </c>
      <c r="C7" s="15" t="s">
        <v>5</v>
      </c>
      <c r="F7" s="25">
        <f>(B5/1000)*B10</f>
        <v>1287090000</v>
      </c>
    </row>
    <row r="8" spans="1:6" ht="18" customHeight="1" x14ac:dyDescent="0.35">
      <c r="A8" s="14" t="s">
        <v>91</v>
      </c>
      <c r="B8" s="59">
        <v>100000</v>
      </c>
      <c r="C8" s="15" t="s">
        <v>26</v>
      </c>
    </row>
    <row r="9" spans="1:6" ht="18" customHeight="1" x14ac:dyDescent="0.35">
      <c r="A9" s="14" t="s">
        <v>92</v>
      </c>
      <c r="B9" s="59">
        <v>2000000</v>
      </c>
      <c r="C9" s="15" t="s">
        <v>26</v>
      </c>
    </row>
    <row r="10" spans="1:6" ht="18" customHeight="1" x14ac:dyDescent="0.35">
      <c r="A10" s="14" t="s">
        <v>93</v>
      </c>
      <c r="B10" s="59">
        <v>500000</v>
      </c>
      <c r="C10" s="15" t="s">
        <v>26</v>
      </c>
    </row>
    <row r="11" spans="1:6" ht="18" customHeight="1" x14ac:dyDescent="0.35">
      <c r="A11" s="60" t="s">
        <v>83</v>
      </c>
      <c r="B11" s="59">
        <v>240000</v>
      </c>
      <c r="C11" s="61" t="s">
        <v>5</v>
      </c>
    </row>
    <row r="12" spans="1:6" ht="18" customHeight="1" x14ac:dyDescent="0.35">
      <c r="A12" s="14" t="s">
        <v>194</v>
      </c>
      <c r="B12" s="58">
        <v>0.5</v>
      </c>
      <c r="C12" s="15"/>
      <c r="D12">
        <v>1</v>
      </c>
      <c r="E12" t="s">
        <v>168</v>
      </c>
    </row>
    <row r="13" spans="1:6" ht="18" customHeight="1" x14ac:dyDescent="0.35">
      <c r="A13" s="14" t="s">
        <v>86</v>
      </c>
      <c r="B13" s="59">
        <f>Chung!B17</f>
        <v>30</v>
      </c>
      <c r="C13" s="15" t="s">
        <v>17</v>
      </c>
    </row>
    <row r="14" spans="1:6" ht="18" customHeight="1" x14ac:dyDescent="0.35">
      <c r="A14" s="14" t="s">
        <v>85</v>
      </c>
      <c r="B14" s="17">
        <f>B13*B6*360</f>
        <v>9720</v>
      </c>
      <c r="C14" s="15" t="s">
        <v>87</v>
      </c>
    </row>
    <row r="15" spans="1:6" ht="18" customHeight="1" x14ac:dyDescent="0.35">
      <c r="A15" s="19" t="s">
        <v>84</v>
      </c>
      <c r="B15" s="24">
        <f>B14*B12</f>
        <v>4860</v>
      </c>
      <c r="C15" s="13" t="s">
        <v>88</v>
      </c>
    </row>
    <row r="16" spans="1:6" ht="18" customHeight="1" x14ac:dyDescent="0.35">
      <c r="A16" s="14" t="s">
        <v>169</v>
      </c>
      <c r="B16" s="54">
        <f>B15*B8</f>
        <v>486000000</v>
      </c>
      <c r="C16" s="15" t="s">
        <v>78</v>
      </c>
    </row>
    <row r="17" spans="1:4" ht="18" customHeight="1" x14ac:dyDescent="0.35">
      <c r="A17" s="19" t="s">
        <v>89</v>
      </c>
      <c r="B17" s="57">
        <f>B5/B7</f>
        <v>321.77249999999998</v>
      </c>
      <c r="C17" s="13" t="s">
        <v>88</v>
      </c>
    </row>
    <row r="18" spans="1:4" ht="18" customHeight="1" x14ac:dyDescent="0.35">
      <c r="A18" s="14" t="s">
        <v>170</v>
      </c>
      <c r="B18" s="54">
        <f>B17*B9</f>
        <v>643545000</v>
      </c>
      <c r="C18" s="15" t="s">
        <v>78</v>
      </c>
    </row>
    <row r="19" spans="1:4" ht="18" hidden="1" customHeight="1" x14ac:dyDescent="0.35">
      <c r="A19" s="62" t="s">
        <v>90</v>
      </c>
      <c r="B19" s="63">
        <f>B5/B11</f>
        <v>10.72575</v>
      </c>
      <c r="C19" s="64" t="s">
        <v>88</v>
      </c>
    </row>
    <row r="20" spans="1:4" ht="18" hidden="1" customHeight="1" x14ac:dyDescent="0.35">
      <c r="A20" s="65"/>
      <c r="B20" s="53"/>
      <c r="C20" s="66"/>
    </row>
    <row r="21" spans="1:4" ht="18" customHeight="1" x14ac:dyDescent="0.35">
      <c r="A21" s="65" t="s">
        <v>192</v>
      </c>
      <c r="B21" s="67">
        <f>B5/1000</f>
        <v>2574.1799999999998</v>
      </c>
      <c r="C21" s="66"/>
      <c r="D21" t="s">
        <v>162</v>
      </c>
    </row>
    <row r="22" spans="1:4" ht="18" customHeight="1" x14ac:dyDescent="0.35">
      <c r="A22" s="14" t="s">
        <v>195</v>
      </c>
      <c r="B22" s="54">
        <f>B21*B10</f>
        <v>1287090000</v>
      </c>
      <c r="C22" s="15" t="s">
        <v>78</v>
      </c>
    </row>
    <row r="23" spans="1:4" ht="18" customHeight="1" x14ac:dyDescent="0.35">
      <c r="A23" s="14"/>
      <c r="B23" s="17"/>
      <c r="C23" s="15"/>
    </row>
    <row r="24" spans="1:4" ht="18" customHeight="1" x14ac:dyDescent="0.35">
      <c r="A24" s="50" t="s">
        <v>94</v>
      </c>
      <c r="B24" s="54">
        <f>B16+B18+B22</f>
        <v>2416635000</v>
      </c>
      <c r="C24" s="15" t="s">
        <v>78</v>
      </c>
    </row>
    <row r="25" spans="1:4" ht="18" customHeight="1" x14ac:dyDescent="0.35">
      <c r="A25" s="14"/>
      <c r="B25" s="17"/>
      <c r="C25" s="15"/>
    </row>
    <row r="26" spans="1:4" ht="18" customHeight="1" x14ac:dyDescent="0.35">
      <c r="A26" s="19" t="s">
        <v>95</v>
      </c>
      <c r="B26" s="57">
        <f>B24/B4</f>
        <v>1065.5357142857142</v>
      </c>
      <c r="C26" s="13" t="s">
        <v>154</v>
      </c>
    </row>
    <row r="27" spans="1:4" ht="18" customHeight="1" x14ac:dyDescent="0.35"/>
    <row r="28" spans="1:4" ht="18" customHeight="1" x14ac:dyDescent="0.35"/>
    <row r="29" spans="1:4" ht="18" customHeight="1" x14ac:dyDescent="0.35"/>
    <row r="30" spans="1:4" ht="18" customHeight="1" x14ac:dyDescent="0.35"/>
    <row r="31" spans="1:4" ht="18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="115" zoomScaleNormal="115" workbookViewId="0">
      <selection activeCell="B8" sqref="B8"/>
    </sheetView>
  </sheetViews>
  <sheetFormatPr defaultRowHeight="14.5" x14ac:dyDescent="0.35"/>
  <cols>
    <col min="1" max="1" width="33.08984375" customWidth="1"/>
    <col min="2" max="2" width="15.36328125" style="9" customWidth="1"/>
  </cols>
  <sheetData>
    <row r="1" spans="1:3" ht="21" customHeight="1" x14ac:dyDescent="0.35">
      <c r="A1" s="79" t="s">
        <v>171</v>
      </c>
      <c r="B1" s="79"/>
      <c r="C1" s="79"/>
    </row>
    <row r="2" spans="1:3" ht="21" customHeight="1" x14ac:dyDescent="0.35"/>
    <row r="3" spans="1:3" ht="21" customHeight="1" x14ac:dyDescent="0.35">
      <c r="A3" s="13" t="s">
        <v>182</v>
      </c>
      <c r="B3" s="56" t="s">
        <v>183</v>
      </c>
      <c r="C3" s="13" t="s">
        <v>184</v>
      </c>
    </row>
    <row r="4" spans="1:3" ht="21" customHeight="1" x14ac:dyDescent="0.35">
      <c r="A4" s="14" t="s">
        <v>96</v>
      </c>
      <c r="B4" s="59">
        <f>Chung!B17</f>
        <v>30</v>
      </c>
      <c r="C4" s="15" t="s">
        <v>17</v>
      </c>
    </row>
    <row r="5" spans="1:3" ht="21" customHeight="1" x14ac:dyDescent="0.35">
      <c r="A5" s="14" t="s">
        <v>97</v>
      </c>
      <c r="B5" s="59">
        <v>800000000</v>
      </c>
      <c r="C5" s="15" t="s">
        <v>26</v>
      </c>
    </row>
    <row r="6" spans="1:3" ht="21" customHeight="1" x14ac:dyDescent="0.35">
      <c r="A6" s="14" t="s">
        <v>98</v>
      </c>
      <c r="B6" s="59">
        <v>10</v>
      </c>
      <c r="C6" s="15" t="s">
        <v>61</v>
      </c>
    </row>
    <row r="7" spans="1:3" ht="21" customHeight="1" x14ac:dyDescent="0.35">
      <c r="A7" s="14" t="s">
        <v>99</v>
      </c>
      <c r="B7" s="17">
        <f>B4*B5</f>
        <v>24000000000</v>
      </c>
      <c r="C7" s="15" t="s">
        <v>78</v>
      </c>
    </row>
    <row r="8" spans="1:3" ht="21" customHeight="1" x14ac:dyDescent="0.35">
      <c r="A8" s="14" t="s">
        <v>100</v>
      </c>
      <c r="B8" s="59">
        <f>B7*B6%</f>
        <v>2400000000</v>
      </c>
      <c r="C8" s="15" t="s">
        <v>78</v>
      </c>
    </row>
    <row r="9" spans="1:3" ht="21" customHeight="1" x14ac:dyDescent="0.35">
      <c r="A9" s="14" t="s">
        <v>27</v>
      </c>
      <c r="B9" s="53">
        <f>Chung!B14</f>
        <v>2268000</v>
      </c>
      <c r="C9" s="15" t="s">
        <v>30</v>
      </c>
    </row>
    <row r="10" spans="1:3" ht="21" customHeight="1" x14ac:dyDescent="0.35">
      <c r="A10" s="14"/>
      <c r="B10" s="17"/>
      <c r="C10" s="15"/>
    </row>
    <row r="11" spans="1:3" ht="21" customHeight="1" x14ac:dyDescent="0.35">
      <c r="A11" s="19" t="s">
        <v>101</v>
      </c>
      <c r="B11" s="57">
        <f>B8/B9</f>
        <v>1058.2010582010582</v>
      </c>
      <c r="C11" s="13" t="s">
        <v>102</v>
      </c>
    </row>
    <row r="12" spans="1:3" ht="21" customHeight="1" x14ac:dyDescent="0.35"/>
    <row r="13" spans="1:3" ht="21" customHeight="1" x14ac:dyDescent="0.35"/>
    <row r="14" spans="1:3" ht="21" customHeight="1" x14ac:dyDescent="0.35"/>
    <row r="15" spans="1:3" ht="21" customHeight="1" x14ac:dyDescent="0.35"/>
    <row r="16" spans="1:3" ht="15.65" customHeight="1" x14ac:dyDescent="0.35"/>
    <row r="17" ht="15.65" customHeight="1" x14ac:dyDescent="0.35"/>
    <row r="18" ht="15.65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zoomScale="115" zoomScaleNormal="115" workbookViewId="0">
      <selection activeCell="B8" sqref="B8"/>
    </sheetView>
  </sheetViews>
  <sheetFormatPr defaultRowHeight="14.5" x14ac:dyDescent="0.35"/>
  <cols>
    <col min="1" max="1" width="30.6328125" customWidth="1"/>
    <col min="2" max="2" width="16.453125" style="9" customWidth="1"/>
  </cols>
  <sheetData>
    <row r="1" spans="1:3" s="1" customFormat="1" ht="24.65" customHeight="1" x14ac:dyDescent="0.35">
      <c r="A1" s="79" t="s">
        <v>103</v>
      </c>
      <c r="B1" s="79"/>
      <c r="C1" s="79"/>
    </row>
    <row r="2" spans="1:3" ht="24.65" customHeight="1" x14ac:dyDescent="0.35"/>
    <row r="3" spans="1:3" ht="24.65" customHeight="1" x14ac:dyDescent="0.35">
      <c r="A3" s="13" t="s">
        <v>182</v>
      </c>
      <c r="B3" s="56" t="s">
        <v>183</v>
      </c>
      <c r="C3" s="13" t="s">
        <v>184</v>
      </c>
    </row>
    <row r="4" spans="1:3" ht="24.65" customHeight="1" x14ac:dyDescent="0.35">
      <c r="A4" s="14" t="s">
        <v>104</v>
      </c>
      <c r="B4" s="17">
        <f>'CP KHCB'!B8</f>
        <v>2400000000</v>
      </c>
      <c r="C4" s="14" t="s">
        <v>78</v>
      </c>
    </row>
    <row r="5" spans="1:3" ht="24.65" customHeight="1" x14ac:dyDescent="0.35">
      <c r="A5" s="14" t="s">
        <v>105</v>
      </c>
      <c r="B5" s="17">
        <v>50</v>
      </c>
      <c r="C5" s="14" t="s">
        <v>61</v>
      </c>
    </row>
    <row r="6" spans="1:3" ht="24.65" customHeight="1" x14ac:dyDescent="0.35">
      <c r="A6" s="14" t="s">
        <v>106</v>
      </c>
      <c r="B6" s="53">
        <f>Chung!B14</f>
        <v>2268000</v>
      </c>
      <c r="C6" s="14" t="s">
        <v>5</v>
      </c>
    </row>
    <row r="7" spans="1:3" ht="24.65" customHeight="1" x14ac:dyDescent="0.35">
      <c r="A7" s="19" t="s">
        <v>107</v>
      </c>
      <c r="B7" s="24">
        <f>B4*B5%</f>
        <v>1200000000</v>
      </c>
      <c r="C7" s="19" t="s">
        <v>78</v>
      </c>
    </row>
    <row r="8" spans="1:3" s="11" customFormat="1" ht="24.65" customHeight="1" x14ac:dyDescent="0.35">
      <c r="A8" s="50" t="s">
        <v>108</v>
      </c>
      <c r="B8" s="55">
        <f>B7/B6</f>
        <v>529.10052910052912</v>
      </c>
      <c r="C8" s="50" t="s">
        <v>102</v>
      </c>
    </row>
    <row r="9" spans="1:3" ht="24.65" customHeight="1" x14ac:dyDescent="0.35"/>
    <row r="10" spans="1:3" ht="24.65" customHeight="1" x14ac:dyDescent="0.35"/>
    <row r="11" spans="1:3" ht="24.65" customHeight="1" x14ac:dyDescent="0.35"/>
    <row r="12" spans="1:3" ht="24.65" customHeight="1" x14ac:dyDescent="0.35"/>
    <row r="13" spans="1:3" ht="24.65" customHeight="1" x14ac:dyDescent="0.35"/>
    <row r="14" spans="1:3" ht="24.65" customHeight="1" x14ac:dyDescent="0.35"/>
    <row r="15" spans="1:3" ht="24.65" customHeight="1" x14ac:dyDescent="0.35"/>
    <row r="16" spans="1:3" ht="24.65" customHeight="1" x14ac:dyDescent="0.35"/>
    <row r="17" ht="24.65" customHeight="1" x14ac:dyDescent="0.35"/>
    <row r="18" ht="24.65" customHeight="1" x14ac:dyDescent="0.35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="115" zoomScaleNormal="115" workbookViewId="0">
      <selection activeCell="B17" sqref="B17"/>
    </sheetView>
  </sheetViews>
  <sheetFormatPr defaultRowHeight="14.5" x14ac:dyDescent="0.35"/>
  <cols>
    <col min="1" max="1" width="38.1796875" customWidth="1"/>
    <col min="2" max="2" width="14.6328125" style="9" bestFit="1" customWidth="1"/>
  </cols>
  <sheetData>
    <row r="1" spans="1:3" x14ac:dyDescent="0.35">
      <c r="A1" s="80" t="s">
        <v>109</v>
      </c>
      <c r="B1" s="80"/>
      <c r="C1" s="80"/>
    </row>
    <row r="3" spans="1:3" x14ac:dyDescent="0.35">
      <c r="A3" s="13" t="s">
        <v>182</v>
      </c>
      <c r="B3" s="56" t="s">
        <v>183</v>
      </c>
      <c r="C3" s="13" t="s">
        <v>184</v>
      </c>
    </row>
    <row r="4" spans="1:3" x14ac:dyDescent="0.35">
      <c r="A4" s="14" t="s">
        <v>110</v>
      </c>
      <c r="B4" s="17">
        <f>'CP KHCB'!B5</f>
        <v>800000000</v>
      </c>
      <c r="C4" s="14" t="s">
        <v>78</v>
      </c>
    </row>
    <row r="5" spans="1:3" x14ac:dyDescent="0.35">
      <c r="A5" s="14" t="s">
        <v>111</v>
      </c>
      <c r="B5" s="17">
        <v>30</v>
      </c>
      <c r="C5" s="14" t="s">
        <v>17</v>
      </c>
    </row>
    <row r="6" spans="1:3" x14ac:dyDescent="0.35">
      <c r="A6" s="14" t="s">
        <v>112</v>
      </c>
      <c r="B6" s="53">
        <f>Chung!B14</f>
        <v>2268000</v>
      </c>
      <c r="C6" s="14" t="s">
        <v>5</v>
      </c>
    </row>
    <row r="7" spans="1:3" x14ac:dyDescent="0.35">
      <c r="A7" s="14" t="s">
        <v>113</v>
      </c>
      <c r="B7" s="17">
        <v>1</v>
      </c>
      <c r="C7" s="14" t="s">
        <v>61</v>
      </c>
    </row>
    <row r="8" spans="1:3" x14ac:dyDescent="0.35">
      <c r="A8" s="14"/>
      <c r="B8" s="17"/>
      <c r="C8" s="14"/>
    </row>
    <row r="9" spans="1:3" x14ac:dyDescent="0.35">
      <c r="A9" s="19" t="s">
        <v>119</v>
      </c>
      <c r="B9" s="24">
        <f>B5*B4*B7%</f>
        <v>240000000</v>
      </c>
      <c r="C9" s="19" t="s">
        <v>78</v>
      </c>
    </row>
    <row r="10" spans="1:3" x14ac:dyDescent="0.35">
      <c r="A10" s="14"/>
      <c r="B10" s="17"/>
      <c r="C10" s="14"/>
    </row>
    <row r="11" spans="1:3" x14ac:dyDescent="0.35">
      <c r="A11" s="14" t="s">
        <v>114</v>
      </c>
      <c r="B11" s="17">
        <v>580000</v>
      </c>
      <c r="C11" s="14" t="s">
        <v>115</v>
      </c>
    </row>
    <row r="12" spans="1:3" x14ac:dyDescent="0.35">
      <c r="A12" s="19" t="s">
        <v>116</v>
      </c>
      <c r="B12" s="24">
        <f>B11*B5</f>
        <v>17400000</v>
      </c>
      <c r="C12" s="19" t="s">
        <v>78</v>
      </c>
    </row>
    <row r="13" spans="1:3" x14ac:dyDescent="0.35">
      <c r="A13" s="14"/>
      <c r="B13" s="17"/>
      <c r="C13" s="14"/>
    </row>
    <row r="14" spans="1:3" x14ac:dyDescent="0.35">
      <c r="A14" s="19" t="s">
        <v>117</v>
      </c>
      <c r="B14" s="24">
        <f>B9+B12</f>
        <v>257400000</v>
      </c>
      <c r="C14" s="19" t="s">
        <v>78</v>
      </c>
    </row>
    <row r="15" spans="1:3" x14ac:dyDescent="0.35">
      <c r="A15" s="14"/>
      <c r="B15" s="17"/>
      <c r="C15" s="14"/>
    </row>
    <row r="16" spans="1:3" s="12" customFormat="1" x14ac:dyDescent="0.35">
      <c r="A16" s="50" t="s">
        <v>118</v>
      </c>
      <c r="B16" s="54">
        <f>B14/B6</f>
        <v>113.49206349206349</v>
      </c>
      <c r="C16" s="50" t="s">
        <v>154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"/>
  <sheetViews>
    <sheetView zoomScale="115" zoomScaleNormal="115" workbookViewId="0">
      <selection activeCell="B13" sqref="B13"/>
    </sheetView>
  </sheetViews>
  <sheetFormatPr defaultRowHeight="14.5" x14ac:dyDescent="0.35"/>
  <cols>
    <col min="1" max="1" width="37.453125" customWidth="1"/>
    <col min="2" max="2" width="12.54296875" style="9" bestFit="1" customWidth="1"/>
    <col min="7" max="7" width="13.6328125" bestFit="1" customWidth="1"/>
  </cols>
  <sheetData>
    <row r="1" spans="1:7" x14ac:dyDescent="0.35">
      <c r="A1" s="80" t="s">
        <v>120</v>
      </c>
      <c r="B1" s="80"/>
      <c r="C1" s="80"/>
    </row>
    <row r="3" spans="1:7" ht="19.25" customHeight="1" x14ac:dyDescent="0.35">
      <c r="A3" s="13" t="s">
        <v>182</v>
      </c>
      <c r="B3" s="56" t="s">
        <v>183</v>
      </c>
      <c r="C3" s="13" t="s">
        <v>184</v>
      </c>
    </row>
    <row r="4" spans="1:7" ht="19.25" customHeight="1" x14ac:dyDescent="0.35">
      <c r="A4" s="14" t="s">
        <v>121</v>
      </c>
      <c r="B4" s="53">
        <f>Chung!B14</f>
        <v>2268000</v>
      </c>
      <c r="C4" s="15" t="s">
        <v>30</v>
      </c>
    </row>
    <row r="5" spans="1:7" ht="19.25" customHeight="1" x14ac:dyDescent="0.35">
      <c r="A5" s="14" t="s">
        <v>122</v>
      </c>
      <c r="B5" s="17">
        <v>30</v>
      </c>
      <c r="C5" s="15" t="s">
        <v>17</v>
      </c>
    </row>
    <row r="6" spans="1:7" ht="19.25" customHeight="1" x14ac:dyDescent="0.35">
      <c r="A6" s="14" t="s">
        <v>123</v>
      </c>
      <c r="B6" s="17">
        <v>3240000</v>
      </c>
      <c r="C6" s="15" t="s">
        <v>124</v>
      </c>
    </row>
    <row r="7" spans="1:7" ht="19.25" customHeight="1" x14ac:dyDescent="0.35">
      <c r="A7" s="19" t="s">
        <v>125</v>
      </c>
      <c r="B7" s="24">
        <f>B5*B6</f>
        <v>97200000</v>
      </c>
      <c r="C7" s="15" t="s">
        <v>78</v>
      </c>
    </row>
    <row r="8" spans="1:7" ht="19.25" customHeight="1" x14ac:dyDescent="0.35">
      <c r="A8" s="14" t="s">
        <v>156</v>
      </c>
      <c r="B8" s="17"/>
      <c r="C8" s="15"/>
    </row>
    <row r="9" spans="1:7" ht="19.25" customHeight="1" x14ac:dyDescent="0.35">
      <c r="A9" s="14" t="s">
        <v>157</v>
      </c>
      <c r="B9" s="17">
        <f>330000*2</f>
        <v>660000</v>
      </c>
      <c r="C9" s="15" t="s">
        <v>172</v>
      </c>
    </row>
    <row r="10" spans="1:7" ht="19.25" customHeight="1" x14ac:dyDescent="0.35">
      <c r="A10" s="14" t="s">
        <v>158</v>
      </c>
      <c r="B10" s="24">
        <f>B5*B9</f>
        <v>19800000</v>
      </c>
      <c r="C10" s="15" t="s">
        <v>78</v>
      </c>
      <c r="G10" s="9"/>
    </row>
    <row r="11" spans="1:7" ht="19.25" customHeight="1" x14ac:dyDescent="0.35">
      <c r="A11" s="14" t="s">
        <v>159</v>
      </c>
      <c r="B11" s="68">
        <f>B7+B10+B8</f>
        <v>117000000</v>
      </c>
      <c r="C11" s="15"/>
    </row>
    <row r="12" spans="1:7" s="11" customFormat="1" ht="19.25" customHeight="1" x14ac:dyDescent="0.35">
      <c r="A12" s="50" t="s">
        <v>178</v>
      </c>
      <c r="B12" s="55">
        <f>B11/B4</f>
        <v>51.587301587301589</v>
      </c>
      <c r="C12" s="52" t="s">
        <v>154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topLeftCell="A4" zoomScale="115" zoomScaleNormal="115" workbookViewId="0">
      <selection activeCell="B21" sqref="B21"/>
    </sheetView>
  </sheetViews>
  <sheetFormatPr defaultRowHeight="14.5" x14ac:dyDescent="0.35"/>
  <cols>
    <col min="1" max="1" width="32.08984375" customWidth="1"/>
    <col min="2" max="2" width="16" style="9" customWidth="1"/>
  </cols>
  <sheetData>
    <row r="1" spans="1:6" x14ac:dyDescent="0.35">
      <c r="A1" s="79" t="s">
        <v>190</v>
      </c>
      <c r="B1" s="79"/>
      <c r="C1" s="79"/>
    </row>
    <row r="3" spans="1:6" ht="16.25" customHeight="1" x14ac:dyDescent="0.35">
      <c r="A3" s="13" t="s">
        <v>182</v>
      </c>
      <c r="B3" s="56" t="s">
        <v>183</v>
      </c>
      <c r="C3" s="13" t="s">
        <v>184</v>
      </c>
    </row>
    <row r="4" spans="1:6" ht="16.25" customHeight="1" x14ac:dyDescent="0.35">
      <c r="A4" s="14" t="s">
        <v>81</v>
      </c>
      <c r="B4" s="53">
        <f>Chung!B14</f>
        <v>2268000</v>
      </c>
      <c r="C4" s="15" t="s">
        <v>30</v>
      </c>
    </row>
    <row r="5" spans="1:6" ht="16.25" customHeight="1" x14ac:dyDescent="0.35">
      <c r="A5" s="14" t="s">
        <v>122</v>
      </c>
      <c r="B5" s="17">
        <v>30</v>
      </c>
      <c r="C5" s="15" t="s">
        <v>17</v>
      </c>
      <c r="F5" s="71"/>
    </row>
    <row r="6" spans="1:6" ht="16.25" customHeight="1" x14ac:dyDescent="0.35">
      <c r="A6" s="14" t="s">
        <v>126</v>
      </c>
      <c r="B6" s="17">
        <f>'CP KHCB'!B5</f>
        <v>800000000</v>
      </c>
      <c r="C6" s="15" t="s">
        <v>78</v>
      </c>
    </row>
    <row r="7" spans="1:6" ht="16.25" customHeight="1" x14ac:dyDescent="0.35">
      <c r="A7" s="14" t="s">
        <v>127</v>
      </c>
      <c r="B7" s="17">
        <f>B5*B6</f>
        <v>24000000000</v>
      </c>
      <c r="C7" s="15" t="s">
        <v>78</v>
      </c>
    </row>
    <row r="8" spans="1:6" ht="16.25" customHeight="1" x14ac:dyDescent="0.35">
      <c r="A8" s="14"/>
      <c r="B8" s="17"/>
      <c r="C8" s="15"/>
    </row>
    <row r="9" spans="1:6" ht="16.25" customHeight="1" x14ac:dyDescent="0.35">
      <c r="A9" s="69" t="s">
        <v>128</v>
      </c>
      <c r="B9" s="59"/>
      <c r="C9" s="61"/>
    </row>
    <row r="10" spans="1:6" ht="16.25" customHeight="1" x14ac:dyDescent="0.35">
      <c r="A10" s="60" t="s">
        <v>130</v>
      </c>
      <c r="B10" s="59">
        <v>50</v>
      </c>
      <c r="C10" s="61" t="s">
        <v>61</v>
      </c>
    </row>
    <row r="11" spans="1:6" ht="16.25" customHeight="1" x14ac:dyDescent="0.35">
      <c r="A11" s="60" t="s">
        <v>129</v>
      </c>
      <c r="B11" s="59">
        <f>100-B10</f>
        <v>50</v>
      </c>
      <c r="C11" s="61" t="s">
        <v>61</v>
      </c>
    </row>
    <row r="12" spans="1:6" ht="16.25" customHeight="1" x14ac:dyDescent="0.35">
      <c r="A12" s="60"/>
      <c r="B12" s="59"/>
      <c r="C12" s="61"/>
    </row>
    <row r="13" spans="1:6" ht="16.25" customHeight="1" x14ac:dyDescent="0.35">
      <c r="A13" s="60" t="s">
        <v>131</v>
      </c>
      <c r="B13" s="59">
        <f>B7*B11%</f>
        <v>12000000000</v>
      </c>
      <c r="C13" s="61" t="s">
        <v>78</v>
      </c>
    </row>
    <row r="14" spans="1:6" ht="16.25" customHeight="1" x14ac:dyDescent="0.35">
      <c r="A14" s="60" t="s">
        <v>132</v>
      </c>
      <c r="B14" s="59">
        <v>10</v>
      </c>
      <c r="C14" s="61" t="s">
        <v>134</v>
      </c>
    </row>
    <row r="15" spans="1:6" ht="16.25" customHeight="1" x14ac:dyDescent="0.35">
      <c r="A15" s="60" t="s">
        <v>133</v>
      </c>
      <c r="B15" s="59">
        <f>B13*B14%</f>
        <v>1200000000</v>
      </c>
      <c r="C15" s="61" t="s">
        <v>78</v>
      </c>
    </row>
    <row r="16" spans="1:6" ht="16.25" customHeight="1" x14ac:dyDescent="0.35">
      <c r="A16" s="60"/>
      <c r="B16" s="59"/>
      <c r="C16" s="61"/>
    </row>
    <row r="17" spans="1:3" ht="16.25" customHeight="1" x14ac:dyDescent="0.35">
      <c r="A17" s="60" t="s">
        <v>164</v>
      </c>
      <c r="B17" s="17">
        <v>120000000</v>
      </c>
      <c r="C17" s="61" t="s">
        <v>26</v>
      </c>
    </row>
    <row r="18" spans="1:3" ht="16.25" customHeight="1" x14ac:dyDescent="0.35">
      <c r="A18" s="60"/>
      <c r="B18" s="17"/>
      <c r="C18" s="15"/>
    </row>
    <row r="19" spans="1:3" ht="16.25" customHeight="1" x14ac:dyDescent="0.35">
      <c r="A19" s="60" t="s">
        <v>165</v>
      </c>
      <c r="B19" s="17">
        <f>B15+B17</f>
        <v>1320000000</v>
      </c>
      <c r="C19" s="15"/>
    </row>
    <row r="20" spans="1:3" ht="16.25" customHeight="1" x14ac:dyDescent="0.35">
      <c r="A20" s="50" t="s">
        <v>179</v>
      </c>
      <c r="B20" s="55">
        <f>B19/B4</f>
        <v>582.01058201058197</v>
      </c>
      <c r="C20" s="52" t="s">
        <v>102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tabSelected="1" zoomScaleNormal="100" workbookViewId="0">
      <selection activeCell="C24" sqref="C24"/>
    </sheetView>
  </sheetViews>
  <sheetFormatPr defaultRowHeight="14.5" x14ac:dyDescent="0.35"/>
  <cols>
    <col min="1" max="1" width="5.1796875" customWidth="1"/>
    <col min="2" max="2" width="29.36328125" customWidth="1"/>
    <col min="3" max="4" width="17.453125" customWidth="1"/>
    <col min="5" max="5" width="13.36328125" customWidth="1"/>
    <col min="6" max="6" width="10" customWidth="1"/>
    <col min="7" max="7" width="12.54296875" customWidth="1"/>
  </cols>
  <sheetData>
    <row r="1" spans="1:8" ht="15.5" x14ac:dyDescent="0.35">
      <c r="A1" s="78" t="s">
        <v>135</v>
      </c>
      <c r="B1" s="78"/>
      <c r="C1" s="78"/>
      <c r="D1" s="78"/>
      <c r="E1" s="78"/>
    </row>
    <row r="3" spans="1:8" ht="22.75" customHeight="1" x14ac:dyDescent="0.35">
      <c r="A3" s="13" t="s">
        <v>136</v>
      </c>
      <c r="B3" s="13" t="s">
        <v>137</v>
      </c>
      <c r="C3" s="13" t="s">
        <v>149</v>
      </c>
      <c r="D3" s="13" t="s">
        <v>180</v>
      </c>
      <c r="E3" s="13" t="s">
        <v>150</v>
      </c>
    </row>
    <row r="4" spans="1:8" ht="22.75" customHeight="1" x14ac:dyDescent="0.35">
      <c r="A4" s="15">
        <v>1</v>
      </c>
      <c r="B4" s="73" t="s">
        <v>138</v>
      </c>
      <c r="C4" s="16">
        <f>'Tiền lương của LX'!B10</f>
        <v>2380.9523809523807</v>
      </c>
      <c r="D4" s="41">
        <f>C4/C$16*100</f>
        <v>14.632136166320164</v>
      </c>
      <c r="E4" s="14"/>
    </row>
    <row r="5" spans="1:8" ht="22.75" customHeight="1" x14ac:dyDescent="0.35">
      <c r="A5" s="15">
        <v>2</v>
      </c>
      <c r="B5" s="73" t="s">
        <v>41</v>
      </c>
      <c r="C5" s="16">
        <f>'Các khoản trích theo lương'!C10</f>
        <v>559.52380952380952</v>
      </c>
      <c r="D5" s="41">
        <f t="shared" ref="D5:D15" si="0">C5/C$16*100</f>
        <v>3.4385519990852389</v>
      </c>
      <c r="E5" s="14"/>
    </row>
    <row r="6" spans="1:8" ht="22.75" customHeight="1" x14ac:dyDescent="0.35">
      <c r="A6" s="15">
        <v>3</v>
      </c>
      <c r="B6" s="73" t="s">
        <v>139</v>
      </c>
      <c r="C6" s="16">
        <f>'CP NL'!B10</f>
        <v>7500.5339999999997</v>
      </c>
      <c r="D6" s="41">
        <f t="shared" si="0"/>
        <v>46.094510619407899</v>
      </c>
      <c r="E6" s="14"/>
      <c r="F6" s="43"/>
      <c r="G6" s="43"/>
      <c r="H6" s="10"/>
    </row>
    <row r="7" spans="1:8" ht="22.75" customHeight="1" x14ac:dyDescent="0.35">
      <c r="A7" s="15">
        <v>4</v>
      </c>
      <c r="B7" s="73" t="s">
        <v>140</v>
      </c>
      <c r="C7" s="16">
        <f>CPVLBT!B9</f>
        <v>817.2</v>
      </c>
      <c r="D7" s="41">
        <f t="shared" si="0"/>
        <v>5.0221003035490721</v>
      </c>
      <c r="E7" s="14"/>
    </row>
    <row r="8" spans="1:8" ht="22.75" customHeight="1" x14ac:dyDescent="0.35">
      <c r="A8" s="15">
        <v>5</v>
      </c>
      <c r="B8" s="73" t="s">
        <v>141</v>
      </c>
      <c r="C8" s="16">
        <f>'CP Săm lốp'!B11</f>
        <v>408.60000000000008</v>
      </c>
      <c r="D8" s="41">
        <f t="shared" si="0"/>
        <v>2.5110501517745365</v>
      </c>
      <c r="E8" s="14"/>
    </row>
    <row r="9" spans="1:8" ht="22.75" customHeight="1" x14ac:dyDescent="0.35">
      <c r="A9" s="15">
        <v>6</v>
      </c>
      <c r="B9" s="73" t="s">
        <v>142</v>
      </c>
      <c r="C9" s="16">
        <f>'CP BDSC'!B26</f>
        <v>1065.5357142857142</v>
      </c>
      <c r="D9" s="41">
        <f t="shared" si="0"/>
        <v>6.5482467378324323</v>
      </c>
      <c r="E9" s="14"/>
    </row>
    <row r="10" spans="1:8" ht="22.75" customHeight="1" x14ac:dyDescent="0.35">
      <c r="A10" s="15">
        <v>7</v>
      </c>
      <c r="B10" s="73" t="s">
        <v>143</v>
      </c>
      <c r="C10" s="16">
        <f>'CP KHCB'!B11</f>
        <v>1058.2010582010582</v>
      </c>
      <c r="D10" s="41">
        <f t="shared" si="0"/>
        <v>6.503171629475629</v>
      </c>
      <c r="E10" s="14"/>
    </row>
    <row r="11" spans="1:8" ht="22.75" customHeight="1" x14ac:dyDescent="0.35">
      <c r="A11" s="15">
        <v>8</v>
      </c>
      <c r="B11" s="73" t="s">
        <v>144</v>
      </c>
      <c r="C11" s="16">
        <f>SCL!B8</f>
        <v>529.10052910052912</v>
      </c>
      <c r="D11" s="41">
        <f t="shared" si="0"/>
        <v>3.2515858147378145</v>
      </c>
      <c r="E11" s="14"/>
    </row>
    <row r="12" spans="1:8" ht="22.75" customHeight="1" x14ac:dyDescent="0.35">
      <c r="A12" s="15">
        <v>9</v>
      </c>
      <c r="B12" s="73" t="s">
        <v>145</v>
      </c>
      <c r="C12" s="16">
        <f>'Bảo hiểm'!B16</f>
        <v>113.49206349206349</v>
      </c>
      <c r="D12" s="41">
        <f t="shared" si="0"/>
        <v>0.69746515726126124</v>
      </c>
      <c r="E12" s="14"/>
    </row>
    <row r="13" spans="1:8" ht="22.75" customHeight="1" x14ac:dyDescent="0.35">
      <c r="A13" s="15">
        <v>10</v>
      </c>
      <c r="B13" s="73" t="s">
        <v>146</v>
      </c>
      <c r="C13" s="16">
        <f>'Lệ phi, bến phí'!B12</f>
        <v>51.587301587301589</v>
      </c>
      <c r="D13" s="41">
        <f t="shared" si="0"/>
        <v>0.31702961693693693</v>
      </c>
      <c r="E13" s="14"/>
    </row>
    <row r="14" spans="1:8" ht="22.75" customHeight="1" x14ac:dyDescent="0.35">
      <c r="A14" s="15">
        <v>11</v>
      </c>
      <c r="B14" s="73" t="s">
        <v>147</v>
      </c>
      <c r="C14" s="16">
        <f>'Thuế đầu vào'!B20</f>
        <v>582.01058201058197</v>
      </c>
      <c r="D14" s="41">
        <f t="shared" si="0"/>
        <v>3.5767443962115952</v>
      </c>
      <c r="E14" s="14"/>
    </row>
    <row r="15" spans="1:8" ht="22.75" customHeight="1" x14ac:dyDescent="0.35">
      <c r="A15" s="15">
        <v>12</v>
      </c>
      <c r="B15" s="73" t="s">
        <v>148</v>
      </c>
      <c r="C15" s="16">
        <f>8%*SUM(C4:C14)</f>
        <v>1205.3389951322754</v>
      </c>
      <c r="D15" s="41">
        <f t="shared" si="0"/>
        <v>7.4074074074074083</v>
      </c>
      <c r="E15" s="14"/>
    </row>
    <row r="16" spans="1:8" ht="22.75" customHeight="1" x14ac:dyDescent="0.35">
      <c r="A16" s="19"/>
      <c r="B16" s="13" t="s">
        <v>151</v>
      </c>
      <c r="C16" s="24">
        <f>SUM(C4:C15)</f>
        <v>16272.076434285716</v>
      </c>
      <c r="D16" s="42">
        <f>SUM(D4:D15)</f>
        <v>99.999999999999972</v>
      </c>
      <c r="E16" s="19"/>
    </row>
    <row r="17" spans="1:7" ht="22.75" customHeight="1" x14ac:dyDescent="0.35">
      <c r="A17" s="14"/>
      <c r="B17" s="15" t="s">
        <v>152</v>
      </c>
      <c r="C17" s="18">
        <v>0.1</v>
      </c>
      <c r="D17" s="18"/>
      <c r="E17" s="14"/>
    </row>
    <row r="18" spans="1:7" ht="22.75" customHeight="1" x14ac:dyDescent="0.35">
      <c r="A18" s="14"/>
      <c r="B18" s="15" t="s">
        <v>173</v>
      </c>
      <c r="C18" s="17">
        <f>C16*(C17+1)</f>
        <v>17899.284077714288</v>
      </c>
      <c r="D18" s="17"/>
      <c r="E18" s="14"/>
    </row>
    <row r="19" spans="1:7" ht="22.75" customHeight="1" x14ac:dyDescent="0.35">
      <c r="A19" s="14"/>
      <c r="B19" s="15" t="s">
        <v>174</v>
      </c>
      <c r="C19" s="17">
        <f>C18*1.08</f>
        <v>19331.226803931433</v>
      </c>
      <c r="D19" s="17"/>
      <c r="E19" s="14"/>
    </row>
    <row r="20" spans="1:7" ht="22.75" customHeight="1" x14ac:dyDescent="0.35">
      <c r="A20" s="20"/>
      <c r="B20" s="21" t="s">
        <v>166</v>
      </c>
      <c r="C20" s="22">
        <f>ROUND(C19,-2)</f>
        <v>19300</v>
      </c>
      <c r="D20" s="22"/>
      <c r="E20" s="23"/>
    </row>
    <row r="21" spans="1:7" x14ac:dyDescent="0.35">
      <c r="F21" s="25"/>
    </row>
    <row r="22" spans="1:7" x14ac:dyDescent="0.35">
      <c r="B22" s="74" t="s">
        <v>181</v>
      </c>
      <c r="C22" s="75">
        <f>C20*100</f>
        <v>1930000</v>
      </c>
      <c r="D22" s="76" t="s">
        <v>186</v>
      </c>
      <c r="G22" s="72"/>
    </row>
    <row r="23" spans="1:7" x14ac:dyDescent="0.35">
      <c r="C23" s="72"/>
    </row>
    <row r="24" spans="1:7" x14ac:dyDescent="0.35">
      <c r="C24" s="72">
        <f>C22*1.3</f>
        <v>2509000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Chung</vt:lpstr>
      <vt:lpstr>Tiền lương của LX</vt:lpstr>
      <vt:lpstr>Các khoản trích theo lương</vt:lpstr>
      <vt:lpstr>CP NL</vt:lpstr>
      <vt:lpstr>CPVLBT</vt:lpstr>
      <vt:lpstr>CP Săm lốp</vt:lpstr>
      <vt:lpstr>CP BDSC</vt:lpstr>
      <vt:lpstr>CP KHCB</vt:lpstr>
      <vt:lpstr>SCL</vt:lpstr>
      <vt:lpstr>Bảo hiểm</vt:lpstr>
      <vt:lpstr>Lệ phi, bến phí</vt:lpstr>
      <vt:lpstr>Thuế đầu vào</vt:lpstr>
      <vt:lpstr>Tổng chi phí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TRAN</dc:creator>
  <cp:lastModifiedBy>GIANG TRAN</cp:lastModifiedBy>
  <dcterms:created xsi:type="dcterms:W3CDTF">2022-02-20T10:21:23Z</dcterms:created>
  <dcterms:modified xsi:type="dcterms:W3CDTF">2026-08-25T13:19:58Z</dcterms:modified>
</cp:coreProperties>
</file>